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RegistroDoc\docs\"/>
    </mc:Choice>
  </mc:AlternateContent>
  <xr:revisionPtr revIDLastSave="0" documentId="13_ncr:1_{B9744ADA-6A44-450E-B6B4-000245B282EF}" xr6:coauthVersionLast="47" xr6:coauthVersionMax="47" xr10:uidLastSave="{00000000-0000-0000-0000-000000000000}"/>
  <bookViews>
    <workbookView xWindow="-108" yWindow="-108" windowWidth="23256" windowHeight="12456" tabRatio="803" activeTab="1" xr2:uid="{00000000-000D-0000-FFFF-FFFF00000000}"/>
  </bookViews>
  <sheets>
    <sheet name="Caratula" sheetId="2" r:id="rId1"/>
    <sheet name="Portada" sheetId="3" r:id="rId2"/>
    <sheet name="Horarios" sheetId="4" r:id="rId3"/>
    <sheet name="Guía del Registro" sheetId="5" r:id="rId4"/>
    <sheet name="Observaciones" sheetId="6" r:id="rId5"/>
    <sheet name="MAESTRO" sheetId="8" r:id="rId6"/>
    <sheet name="RESUMEN" sheetId="11" r:id="rId7"/>
    <sheet name="Asistencia " sheetId="17" r:id="rId8"/>
    <sheet name="PROM (Ingles)" sheetId="20" r:id="rId9"/>
    <sheet name="Planilla (Ingles) " sheetId="21" r:id="rId10"/>
    <sheet name="PROM (Español)" sheetId="44" r:id="rId11"/>
    <sheet name="Planilla (Español)" sheetId="45" r:id="rId12"/>
    <sheet name="PROM (Matematica)" sheetId="46" r:id="rId13"/>
    <sheet name="Planilla (Matematica)" sheetId="47" r:id="rId14"/>
    <sheet name="PROM (C. Sociales)" sheetId="48" r:id="rId15"/>
    <sheet name="Planilla (C. Sociales)" sheetId="49" r:id="rId16"/>
    <sheet name="PROM (C. Naturales)" sheetId="50" r:id="rId17"/>
    <sheet name="Planilla (C. Naturales)" sheetId="51" r:id="rId18"/>
    <sheet name="PROM (Religión)" sheetId="52" r:id="rId19"/>
    <sheet name="Planilla (Religión)" sheetId="53" r:id="rId20"/>
    <sheet name="PROM (E. Artisticas)" sheetId="54" r:id="rId21"/>
    <sheet name="Planilla (E. Artisticas)" sheetId="55" r:id="rId22"/>
    <sheet name="PROM (Tecnologia)" sheetId="56" r:id="rId23"/>
    <sheet name="Planilla (Tecnologia)" sheetId="57" r:id="rId24"/>
    <sheet name="PROM (E. Fisica)" sheetId="58" r:id="rId25"/>
    <sheet name="Planilla (E. Fisica)" sheetId="59"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3" i="59" l="1"/>
  <c r="Q53" i="59"/>
  <c r="P54" i="59"/>
  <c r="Q54" i="59"/>
  <c r="P55" i="59"/>
  <c r="Q55" i="59"/>
  <c r="E17" i="59"/>
  <c r="E18" i="59"/>
  <c r="E19" i="59"/>
  <c r="E20" i="59"/>
  <c r="E21" i="59"/>
  <c r="E22" i="59"/>
  <c r="E23" i="59"/>
  <c r="E24" i="59"/>
  <c r="E25" i="59"/>
  <c r="E26" i="59"/>
  <c r="E27" i="59"/>
  <c r="E28" i="59"/>
  <c r="E29" i="59"/>
  <c r="E30" i="59"/>
  <c r="E31" i="59"/>
  <c r="E32" i="59"/>
  <c r="E33" i="59"/>
  <c r="E34" i="59"/>
  <c r="E35" i="59"/>
  <c r="E36" i="59"/>
  <c r="E37" i="59"/>
  <c r="E38" i="59"/>
  <c r="E39" i="59"/>
  <c r="E40" i="59"/>
  <c r="E41" i="59"/>
  <c r="E42" i="59"/>
  <c r="E43" i="59"/>
  <c r="E44" i="59"/>
  <c r="E45" i="59"/>
  <c r="E46" i="59"/>
  <c r="E47" i="59"/>
  <c r="E48" i="59"/>
  <c r="E49" i="59"/>
  <c r="E50" i="59"/>
  <c r="E51" i="59"/>
  <c r="E52" i="59"/>
  <c r="E53" i="59"/>
  <c r="E54" i="59"/>
  <c r="E55" i="59"/>
  <c r="E16" i="59"/>
  <c r="Q55" i="57"/>
  <c r="E17" i="57"/>
  <c r="E18" i="57"/>
  <c r="E19" i="57"/>
  <c r="E20" i="57"/>
  <c r="E21" i="57"/>
  <c r="E22" i="57"/>
  <c r="E23" i="57"/>
  <c r="E24" i="57"/>
  <c r="E25" i="57"/>
  <c r="E26" i="57"/>
  <c r="E27" i="57"/>
  <c r="E28" i="57"/>
  <c r="E29" i="57"/>
  <c r="E30" i="57"/>
  <c r="E31" i="57"/>
  <c r="E32" i="57"/>
  <c r="E33" i="57"/>
  <c r="E34" i="57"/>
  <c r="E35" i="57"/>
  <c r="E36" i="57"/>
  <c r="E37" i="57"/>
  <c r="E38" i="57"/>
  <c r="E39" i="57"/>
  <c r="E40" i="57"/>
  <c r="E41" i="57"/>
  <c r="E42" i="57"/>
  <c r="E43" i="57"/>
  <c r="E44" i="57"/>
  <c r="E45" i="57"/>
  <c r="E46" i="57"/>
  <c r="E47" i="57"/>
  <c r="E48" i="57"/>
  <c r="E49" i="57"/>
  <c r="E50" i="57"/>
  <c r="E51" i="57"/>
  <c r="E52" i="57"/>
  <c r="E53" i="57"/>
  <c r="E54" i="57"/>
  <c r="E55" i="57"/>
  <c r="E16" i="57"/>
  <c r="Q55" i="55"/>
  <c r="E17" i="55"/>
  <c r="E18" i="55"/>
  <c r="E19" i="55"/>
  <c r="E20" i="55"/>
  <c r="E21" i="55"/>
  <c r="E22" i="55"/>
  <c r="E23" i="55"/>
  <c r="E24" i="55"/>
  <c r="E25" i="55"/>
  <c r="E26" i="55"/>
  <c r="E27" i="55"/>
  <c r="E28" i="55"/>
  <c r="E29" i="55"/>
  <c r="E30" i="55"/>
  <c r="E31" i="55"/>
  <c r="E32" i="55"/>
  <c r="E33" i="55"/>
  <c r="E34" i="55"/>
  <c r="E35" i="55"/>
  <c r="E36" i="55"/>
  <c r="E37" i="55"/>
  <c r="E38" i="55"/>
  <c r="E39" i="55"/>
  <c r="E40" i="55"/>
  <c r="E41" i="55"/>
  <c r="E42" i="55"/>
  <c r="E43" i="55"/>
  <c r="E44" i="55"/>
  <c r="E45" i="55"/>
  <c r="E46" i="55"/>
  <c r="E47" i="55"/>
  <c r="E48" i="55"/>
  <c r="E49" i="55"/>
  <c r="E50" i="55"/>
  <c r="E51" i="55"/>
  <c r="E52" i="55"/>
  <c r="E53" i="55"/>
  <c r="E54" i="55"/>
  <c r="E55" i="55"/>
  <c r="E16" i="55"/>
  <c r="E17" i="51"/>
  <c r="E18" i="51"/>
  <c r="E19" i="51"/>
  <c r="E20" i="51"/>
  <c r="E21" i="51"/>
  <c r="E22" i="51"/>
  <c r="E23" i="51"/>
  <c r="E24" i="51"/>
  <c r="E25" i="51"/>
  <c r="E26" i="51"/>
  <c r="E27" i="51"/>
  <c r="E28" i="51"/>
  <c r="E29" i="51"/>
  <c r="E30" i="51"/>
  <c r="E31" i="51"/>
  <c r="E32" i="51"/>
  <c r="E33" i="51"/>
  <c r="E34" i="51"/>
  <c r="E35" i="51"/>
  <c r="E36" i="51"/>
  <c r="E37" i="51"/>
  <c r="E38" i="51"/>
  <c r="E39" i="51"/>
  <c r="E40" i="51"/>
  <c r="E41" i="51"/>
  <c r="E42" i="51"/>
  <c r="E43" i="51"/>
  <c r="E44" i="51"/>
  <c r="E45" i="51"/>
  <c r="E46" i="51"/>
  <c r="E47" i="51"/>
  <c r="E48" i="51"/>
  <c r="E49" i="51"/>
  <c r="E50" i="51"/>
  <c r="E51" i="51"/>
  <c r="E52" i="51"/>
  <c r="E53" i="51"/>
  <c r="E54" i="51"/>
  <c r="E55" i="51"/>
  <c r="E16" i="51"/>
  <c r="P53" i="49"/>
  <c r="Q53" i="49"/>
  <c r="P54" i="49"/>
  <c r="Q54" i="49"/>
  <c r="P55" i="49"/>
  <c r="Q55" i="49"/>
  <c r="P53" i="47"/>
  <c r="Q53" i="47"/>
  <c r="P54" i="47"/>
  <c r="Q54" i="47"/>
  <c r="P55" i="47"/>
  <c r="Q55" i="47"/>
  <c r="P53" i="45"/>
  <c r="Q53" i="45"/>
  <c r="P54" i="45"/>
  <c r="Q54" i="45"/>
  <c r="P55" i="45"/>
  <c r="Q55" i="45"/>
  <c r="P53" i="21"/>
  <c r="Q53" i="21"/>
  <c r="P54" i="21"/>
  <c r="Q54" i="21"/>
  <c r="P55" i="21"/>
  <c r="Q55" i="21"/>
  <c r="P53" i="53"/>
  <c r="Q53" i="53"/>
  <c r="P54" i="53"/>
  <c r="Q54" i="53"/>
  <c r="P55" i="53"/>
  <c r="Q55" i="53"/>
  <c r="E17" i="53"/>
  <c r="E18" i="53"/>
  <c r="E19" i="53"/>
  <c r="E20" i="53"/>
  <c r="E21" i="53"/>
  <c r="E22" i="53"/>
  <c r="E23" i="53"/>
  <c r="E24" i="53"/>
  <c r="E25" i="53"/>
  <c r="E26" i="53"/>
  <c r="E27" i="53"/>
  <c r="E28" i="53"/>
  <c r="E29" i="53"/>
  <c r="E30" i="53"/>
  <c r="E31" i="53"/>
  <c r="E32" i="53"/>
  <c r="E33" i="53"/>
  <c r="E34" i="53"/>
  <c r="E35" i="53"/>
  <c r="E36" i="53"/>
  <c r="E37" i="53"/>
  <c r="E38" i="53"/>
  <c r="E39" i="53"/>
  <c r="E40" i="53"/>
  <c r="E41" i="53"/>
  <c r="E42" i="53"/>
  <c r="E43" i="53"/>
  <c r="E44" i="53"/>
  <c r="E45" i="53"/>
  <c r="E46" i="53"/>
  <c r="E47" i="53"/>
  <c r="E48" i="53"/>
  <c r="E49" i="53"/>
  <c r="E50" i="53"/>
  <c r="E51" i="53"/>
  <c r="E52" i="53"/>
  <c r="E53" i="53"/>
  <c r="E54" i="53"/>
  <c r="E55" i="53"/>
  <c r="E16" i="53"/>
  <c r="E17" i="49"/>
  <c r="E18" i="49"/>
  <c r="E19" i="49"/>
  <c r="E20" i="49"/>
  <c r="E21" i="49"/>
  <c r="E22" i="49"/>
  <c r="E23" i="49"/>
  <c r="E24" i="49"/>
  <c r="E25" i="49"/>
  <c r="E26" i="49"/>
  <c r="E27" i="49"/>
  <c r="E28" i="49"/>
  <c r="E29" i="49"/>
  <c r="E30" i="49"/>
  <c r="E31" i="49"/>
  <c r="E32" i="49"/>
  <c r="E33" i="49"/>
  <c r="E34" i="49"/>
  <c r="E35" i="49"/>
  <c r="E36" i="49"/>
  <c r="E37" i="49"/>
  <c r="E38" i="49"/>
  <c r="E39" i="49"/>
  <c r="E40" i="49"/>
  <c r="E41" i="49"/>
  <c r="E42" i="49"/>
  <c r="E43" i="49"/>
  <c r="E44" i="49"/>
  <c r="E45" i="49"/>
  <c r="E46" i="49"/>
  <c r="E47" i="49"/>
  <c r="E48" i="49"/>
  <c r="E49" i="49"/>
  <c r="E50" i="49"/>
  <c r="E51" i="49"/>
  <c r="E52" i="49"/>
  <c r="E53" i="49"/>
  <c r="E54" i="49"/>
  <c r="E55" i="49"/>
  <c r="E16" i="49"/>
  <c r="E17" i="47"/>
  <c r="E18" i="47"/>
  <c r="E19" i="47"/>
  <c r="E20" i="47"/>
  <c r="E21" i="47"/>
  <c r="E22" i="47"/>
  <c r="E23" i="47"/>
  <c r="E24" i="47"/>
  <c r="E25" i="47"/>
  <c r="E26" i="47"/>
  <c r="E27" i="47"/>
  <c r="E28" i="47"/>
  <c r="E29" i="47"/>
  <c r="E30" i="47"/>
  <c r="E31" i="47"/>
  <c r="E32" i="47"/>
  <c r="E33" i="47"/>
  <c r="E34" i="47"/>
  <c r="E35" i="47"/>
  <c r="E36" i="47"/>
  <c r="E37" i="47"/>
  <c r="E38" i="47"/>
  <c r="E39" i="47"/>
  <c r="E40" i="47"/>
  <c r="E41" i="47"/>
  <c r="E42" i="47"/>
  <c r="E43" i="47"/>
  <c r="E44" i="47"/>
  <c r="E45" i="47"/>
  <c r="E46" i="47"/>
  <c r="E47" i="47"/>
  <c r="E48" i="47"/>
  <c r="E49" i="47"/>
  <c r="E50" i="47"/>
  <c r="E51" i="47"/>
  <c r="E52" i="47"/>
  <c r="E53" i="47"/>
  <c r="E54" i="47"/>
  <c r="E55" i="47"/>
  <c r="E16" i="47"/>
  <c r="E17" i="45"/>
  <c r="E18" i="45"/>
  <c r="E19" i="45"/>
  <c r="E20" i="45"/>
  <c r="E21" i="45"/>
  <c r="E22" i="45"/>
  <c r="E23" i="45"/>
  <c r="E24" i="45"/>
  <c r="E25" i="45"/>
  <c r="E26" i="45"/>
  <c r="E27" i="45"/>
  <c r="E28" i="45"/>
  <c r="E29" i="45"/>
  <c r="E30" i="45"/>
  <c r="E31" i="45"/>
  <c r="E32" i="45"/>
  <c r="E33" i="45"/>
  <c r="E34" i="45"/>
  <c r="E35" i="45"/>
  <c r="E36" i="45"/>
  <c r="E37" i="45"/>
  <c r="E38" i="45"/>
  <c r="E39" i="45"/>
  <c r="E40" i="45"/>
  <c r="E41" i="45"/>
  <c r="E42" i="45"/>
  <c r="E43" i="45"/>
  <c r="E44" i="45"/>
  <c r="E45" i="45"/>
  <c r="E46" i="45"/>
  <c r="E47" i="45"/>
  <c r="E48" i="45"/>
  <c r="E49" i="45"/>
  <c r="E50" i="45"/>
  <c r="E51" i="45"/>
  <c r="E52" i="45"/>
  <c r="E53" i="45"/>
  <c r="E54" i="45"/>
  <c r="E55" i="45"/>
  <c r="E16" i="45"/>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16" i="21"/>
  <c r="C87" i="11"/>
  <c r="D87" i="11"/>
  <c r="E87" i="11"/>
  <c r="F87" i="11"/>
  <c r="G87" i="11"/>
  <c r="H87" i="11"/>
  <c r="I87" i="11"/>
  <c r="J87" i="11"/>
  <c r="K87" i="11"/>
  <c r="C88" i="11"/>
  <c r="D88" i="11"/>
  <c r="E88" i="11"/>
  <c r="F88" i="11"/>
  <c r="G88" i="11"/>
  <c r="H88" i="11"/>
  <c r="I88" i="11"/>
  <c r="J88" i="11"/>
  <c r="K88" i="11"/>
  <c r="C89" i="11"/>
  <c r="D89" i="11"/>
  <c r="E89" i="11"/>
  <c r="F89" i="11"/>
  <c r="G89" i="11"/>
  <c r="H89" i="11"/>
  <c r="I89" i="11"/>
  <c r="J89" i="11"/>
  <c r="K89" i="11"/>
  <c r="C90" i="11"/>
  <c r="D90" i="11"/>
  <c r="E90" i="11"/>
  <c r="F90" i="11"/>
  <c r="G90" i="11"/>
  <c r="H90" i="11"/>
  <c r="I90" i="11"/>
  <c r="J90" i="11"/>
  <c r="K90" i="11"/>
  <c r="C91" i="11"/>
  <c r="D91" i="11"/>
  <c r="E91" i="11"/>
  <c r="F91" i="11"/>
  <c r="G91" i="11"/>
  <c r="H91" i="11"/>
  <c r="I91" i="11"/>
  <c r="J91" i="11"/>
  <c r="K91" i="11"/>
  <c r="C92" i="11"/>
  <c r="D92" i="11"/>
  <c r="E92" i="11"/>
  <c r="F92" i="11"/>
  <c r="G92" i="11"/>
  <c r="H92" i="11"/>
  <c r="I92" i="11"/>
  <c r="J92" i="11"/>
  <c r="K92" i="11"/>
  <c r="C93" i="11"/>
  <c r="D93" i="11"/>
  <c r="E93" i="11"/>
  <c r="F93" i="11"/>
  <c r="G93" i="11"/>
  <c r="H93" i="11"/>
  <c r="I93" i="11"/>
  <c r="J93" i="11"/>
  <c r="K93" i="11"/>
  <c r="C94" i="11"/>
  <c r="D94" i="11"/>
  <c r="E94" i="11"/>
  <c r="F94" i="11"/>
  <c r="G94" i="11"/>
  <c r="H94" i="11"/>
  <c r="I94" i="11"/>
  <c r="J94" i="11"/>
  <c r="K94" i="11"/>
  <c r="C95" i="11"/>
  <c r="D95" i="11"/>
  <c r="E95" i="11"/>
  <c r="F95" i="11"/>
  <c r="G95" i="11"/>
  <c r="H95" i="11"/>
  <c r="I95" i="11"/>
  <c r="J95" i="11"/>
  <c r="K95" i="11"/>
  <c r="C96" i="11"/>
  <c r="D96" i="11"/>
  <c r="E96" i="11"/>
  <c r="F96" i="11"/>
  <c r="G96" i="11"/>
  <c r="H96" i="11"/>
  <c r="I96" i="11"/>
  <c r="J96" i="11"/>
  <c r="K96" i="11"/>
  <c r="C97" i="11"/>
  <c r="D97" i="11"/>
  <c r="E97" i="11"/>
  <c r="F97" i="11"/>
  <c r="G97" i="11"/>
  <c r="H97" i="11"/>
  <c r="I97" i="11"/>
  <c r="J97" i="11"/>
  <c r="K97" i="11"/>
  <c r="C98" i="11"/>
  <c r="D98" i="11"/>
  <c r="E98" i="11"/>
  <c r="F98" i="11"/>
  <c r="G98" i="11"/>
  <c r="H98" i="11"/>
  <c r="I98" i="11"/>
  <c r="J98" i="11"/>
  <c r="K98" i="11"/>
  <c r="C99" i="11"/>
  <c r="D99" i="11"/>
  <c r="E99" i="11"/>
  <c r="F99" i="11"/>
  <c r="G99" i="11"/>
  <c r="H99" i="11"/>
  <c r="I99" i="11"/>
  <c r="J99" i="11"/>
  <c r="K99" i="11"/>
  <c r="C100" i="11"/>
  <c r="D100" i="11"/>
  <c r="E100" i="11"/>
  <c r="F100" i="11"/>
  <c r="G100" i="11"/>
  <c r="H100" i="11"/>
  <c r="I100" i="11"/>
  <c r="J100" i="11"/>
  <c r="K100" i="11"/>
  <c r="C101" i="11"/>
  <c r="D101" i="11"/>
  <c r="E101" i="11"/>
  <c r="F101" i="11"/>
  <c r="G101" i="11"/>
  <c r="H101" i="11"/>
  <c r="I101" i="11"/>
  <c r="J101" i="11"/>
  <c r="K101" i="11"/>
  <c r="C102" i="11"/>
  <c r="D102" i="11"/>
  <c r="E102" i="11"/>
  <c r="F102" i="11"/>
  <c r="G102" i="11"/>
  <c r="H102" i="11"/>
  <c r="I102" i="11"/>
  <c r="J102" i="11"/>
  <c r="K102" i="11"/>
  <c r="C103" i="11"/>
  <c r="D103" i="11"/>
  <c r="E103" i="11"/>
  <c r="F103" i="11"/>
  <c r="G103" i="11"/>
  <c r="H103" i="11"/>
  <c r="I103" i="11"/>
  <c r="J103" i="11"/>
  <c r="K103" i="11"/>
  <c r="C104" i="11"/>
  <c r="D104" i="11"/>
  <c r="E104" i="11"/>
  <c r="F104" i="11"/>
  <c r="G104" i="11"/>
  <c r="H104" i="11"/>
  <c r="I104" i="11"/>
  <c r="J104" i="11"/>
  <c r="K104" i="11"/>
  <c r="C105" i="11"/>
  <c r="D105" i="11"/>
  <c r="E105" i="11"/>
  <c r="F105" i="11"/>
  <c r="G105" i="11"/>
  <c r="H105" i="11"/>
  <c r="I105" i="11"/>
  <c r="J105" i="11"/>
  <c r="K105" i="11"/>
  <c r="C106" i="11"/>
  <c r="D106" i="11"/>
  <c r="E106" i="11"/>
  <c r="F106" i="11"/>
  <c r="G106" i="11"/>
  <c r="H106" i="11"/>
  <c r="I106" i="11"/>
  <c r="J106" i="11"/>
  <c r="K106" i="11"/>
  <c r="C107" i="11"/>
  <c r="D107" i="11"/>
  <c r="E107" i="11"/>
  <c r="F107" i="11"/>
  <c r="G107" i="11"/>
  <c r="H107" i="11"/>
  <c r="I107" i="11"/>
  <c r="J107" i="11"/>
  <c r="K107" i="11"/>
  <c r="C108" i="11"/>
  <c r="D108" i="11"/>
  <c r="E108" i="11"/>
  <c r="F108" i="11"/>
  <c r="G108" i="11"/>
  <c r="H108" i="11"/>
  <c r="I108" i="11"/>
  <c r="J108" i="11"/>
  <c r="K108" i="11"/>
  <c r="C109" i="11"/>
  <c r="D109" i="11"/>
  <c r="E109" i="11"/>
  <c r="F109" i="11"/>
  <c r="G109" i="11"/>
  <c r="H109" i="11"/>
  <c r="I109" i="11"/>
  <c r="J109" i="11"/>
  <c r="K109" i="11"/>
  <c r="C110" i="11"/>
  <c r="D110" i="11"/>
  <c r="E110" i="11"/>
  <c r="F110" i="11"/>
  <c r="G110" i="11"/>
  <c r="H110" i="11"/>
  <c r="I110" i="11"/>
  <c r="J110" i="11"/>
  <c r="K110" i="11"/>
  <c r="C111" i="11"/>
  <c r="D111" i="11"/>
  <c r="E111" i="11"/>
  <c r="F111" i="11"/>
  <c r="G111" i="11"/>
  <c r="H111" i="11"/>
  <c r="I111" i="11"/>
  <c r="J111" i="11"/>
  <c r="K111" i="11"/>
  <c r="C112" i="11"/>
  <c r="D112" i="11"/>
  <c r="E112" i="11"/>
  <c r="F112" i="11"/>
  <c r="G112" i="11"/>
  <c r="H112" i="11"/>
  <c r="I112" i="11"/>
  <c r="J112" i="11"/>
  <c r="K112" i="11"/>
  <c r="C113" i="11"/>
  <c r="D113" i="11"/>
  <c r="E113" i="11"/>
  <c r="F113" i="11"/>
  <c r="G113" i="11"/>
  <c r="H113" i="11"/>
  <c r="I113" i="11"/>
  <c r="J113" i="11"/>
  <c r="K113" i="11"/>
  <c r="C114" i="11"/>
  <c r="D114" i="11"/>
  <c r="E114" i="11"/>
  <c r="F114" i="11"/>
  <c r="G114" i="11"/>
  <c r="H114" i="11"/>
  <c r="I114" i="11"/>
  <c r="J114" i="11"/>
  <c r="K114" i="11"/>
  <c r="C115" i="11"/>
  <c r="D115" i="11"/>
  <c r="E115" i="11"/>
  <c r="F115" i="11"/>
  <c r="G115" i="11"/>
  <c r="H115" i="11"/>
  <c r="I115" i="11"/>
  <c r="J115" i="11"/>
  <c r="K115" i="11"/>
  <c r="C116" i="11"/>
  <c r="D116" i="11"/>
  <c r="E116" i="11"/>
  <c r="F116" i="11"/>
  <c r="G116" i="11"/>
  <c r="H116" i="11"/>
  <c r="I116" i="11"/>
  <c r="J116" i="11"/>
  <c r="K116" i="11"/>
  <c r="C117" i="11"/>
  <c r="D117" i="11"/>
  <c r="E117" i="11"/>
  <c r="F117" i="11"/>
  <c r="G117" i="11"/>
  <c r="H117" i="11"/>
  <c r="I117" i="11"/>
  <c r="J117" i="11"/>
  <c r="K117" i="11"/>
  <c r="C118" i="11"/>
  <c r="D118" i="11"/>
  <c r="E118" i="11"/>
  <c r="F118" i="11"/>
  <c r="G118" i="11"/>
  <c r="H118" i="11"/>
  <c r="I118" i="11"/>
  <c r="J118" i="11"/>
  <c r="K118" i="11"/>
  <c r="C119" i="11"/>
  <c r="D119" i="11"/>
  <c r="E119" i="11"/>
  <c r="F119" i="11"/>
  <c r="G119" i="11"/>
  <c r="H119" i="11"/>
  <c r="I119" i="11"/>
  <c r="J119" i="11"/>
  <c r="K119" i="11"/>
  <c r="C120" i="11"/>
  <c r="D120" i="11"/>
  <c r="E120" i="11"/>
  <c r="F120" i="11"/>
  <c r="G120" i="11"/>
  <c r="H120" i="11"/>
  <c r="I120" i="11"/>
  <c r="J120" i="11"/>
  <c r="K120" i="11"/>
  <c r="K86" i="11"/>
  <c r="J86" i="11"/>
  <c r="I86" i="11"/>
  <c r="H86" i="11"/>
  <c r="G86" i="11"/>
  <c r="F86" i="11"/>
  <c r="E86" i="11"/>
  <c r="D86" i="11"/>
  <c r="C86"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C45" i="11"/>
  <c r="D45" i="11"/>
  <c r="E45" i="11"/>
  <c r="F45" i="11"/>
  <c r="G45" i="11"/>
  <c r="H45" i="11"/>
  <c r="I45" i="11"/>
  <c r="J45" i="11"/>
  <c r="K45" i="11"/>
  <c r="C46" i="11"/>
  <c r="D46" i="11"/>
  <c r="E46" i="11"/>
  <c r="F46" i="11"/>
  <c r="G46" i="11"/>
  <c r="H46" i="11"/>
  <c r="I46" i="11"/>
  <c r="J46" i="11"/>
  <c r="K46" i="11"/>
  <c r="C47" i="11"/>
  <c r="D47" i="11"/>
  <c r="E47" i="11"/>
  <c r="F47" i="11"/>
  <c r="G47" i="11"/>
  <c r="H47" i="11"/>
  <c r="I47" i="11"/>
  <c r="J47" i="11"/>
  <c r="K47" i="11"/>
  <c r="C48" i="11"/>
  <c r="D48" i="11"/>
  <c r="E48" i="11"/>
  <c r="F48" i="11"/>
  <c r="G48" i="11"/>
  <c r="H48" i="11"/>
  <c r="I48" i="11"/>
  <c r="J48" i="11"/>
  <c r="K48" i="11"/>
  <c r="C49" i="11"/>
  <c r="D49" i="11"/>
  <c r="E49" i="11"/>
  <c r="F49" i="11"/>
  <c r="G49" i="11"/>
  <c r="H49" i="11"/>
  <c r="I49" i="11"/>
  <c r="J49" i="11"/>
  <c r="K49" i="11"/>
  <c r="C50" i="11"/>
  <c r="D50" i="11"/>
  <c r="E50" i="11"/>
  <c r="F50" i="11"/>
  <c r="G50" i="11"/>
  <c r="H50" i="11"/>
  <c r="I50" i="11"/>
  <c r="J50" i="11"/>
  <c r="K50" i="11"/>
  <c r="C51" i="11"/>
  <c r="D51" i="11"/>
  <c r="E51" i="11"/>
  <c r="F51" i="11"/>
  <c r="G51" i="11"/>
  <c r="H51" i="11"/>
  <c r="I51" i="11"/>
  <c r="J51" i="11"/>
  <c r="K51" i="11"/>
  <c r="C52" i="11"/>
  <c r="D52" i="11"/>
  <c r="E52" i="11"/>
  <c r="F52" i="11"/>
  <c r="G52" i="11"/>
  <c r="H52" i="11"/>
  <c r="I52" i="11"/>
  <c r="J52" i="11"/>
  <c r="K52" i="11"/>
  <c r="C53" i="11"/>
  <c r="D53" i="11"/>
  <c r="E53" i="11"/>
  <c r="F53" i="11"/>
  <c r="G53" i="11"/>
  <c r="H53" i="11"/>
  <c r="I53" i="11"/>
  <c r="J53" i="11"/>
  <c r="K53" i="11"/>
  <c r="C54" i="11"/>
  <c r="D54" i="11"/>
  <c r="E54" i="11"/>
  <c r="F54" i="11"/>
  <c r="G54" i="11"/>
  <c r="H54" i="11"/>
  <c r="I54" i="11"/>
  <c r="J54" i="11"/>
  <c r="K54" i="11"/>
  <c r="C55" i="11"/>
  <c r="D55" i="11"/>
  <c r="E55" i="11"/>
  <c r="F55" i="11"/>
  <c r="G55" i="11"/>
  <c r="H55" i="11"/>
  <c r="I55" i="11"/>
  <c r="J55" i="11"/>
  <c r="K55" i="11"/>
  <c r="C56" i="11"/>
  <c r="D56" i="11"/>
  <c r="E56" i="11"/>
  <c r="F56" i="11"/>
  <c r="G56" i="11"/>
  <c r="H56" i="11"/>
  <c r="I56" i="11"/>
  <c r="J56" i="11"/>
  <c r="K56" i="11"/>
  <c r="C57" i="11"/>
  <c r="D57" i="11"/>
  <c r="E57" i="11"/>
  <c r="F57" i="11"/>
  <c r="G57" i="11"/>
  <c r="H57" i="11"/>
  <c r="I57" i="11"/>
  <c r="J57" i="11"/>
  <c r="K57" i="11"/>
  <c r="C58" i="11"/>
  <c r="D58" i="11"/>
  <c r="E58" i="11"/>
  <c r="F58" i="11"/>
  <c r="G58" i="11"/>
  <c r="H58" i="11"/>
  <c r="I58" i="11"/>
  <c r="J58" i="11"/>
  <c r="K58" i="11"/>
  <c r="C59" i="11"/>
  <c r="D59" i="11"/>
  <c r="E59" i="11"/>
  <c r="F59" i="11"/>
  <c r="G59" i="11"/>
  <c r="H59" i="11"/>
  <c r="I59" i="11"/>
  <c r="J59" i="11"/>
  <c r="K59" i="11"/>
  <c r="C60" i="11"/>
  <c r="D60" i="11"/>
  <c r="E60" i="11"/>
  <c r="F60" i="11"/>
  <c r="G60" i="11"/>
  <c r="H60" i="11"/>
  <c r="I60" i="11"/>
  <c r="J60" i="11"/>
  <c r="K60" i="11"/>
  <c r="C61" i="11"/>
  <c r="D61" i="11"/>
  <c r="E61" i="11"/>
  <c r="F61" i="11"/>
  <c r="G61" i="11"/>
  <c r="H61" i="11"/>
  <c r="I61" i="11"/>
  <c r="J61" i="11"/>
  <c r="K61" i="11"/>
  <c r="C62" i="11"/>
  <c r="D62" i="11"/>
  <c r="E62" i="11"/>
  <c r="F62" i="11"/>
  <c r="G62" i="11"/>
  <c r="H62" i="11"/>
  <c r="I62" i="11"/>
  <c r="J62" i="11"/>
  <c r="K62" i="11"/>
  <c r="C63" i="11"/>
  <c r="D63" i="11"/>
  <c r="E63" i="11"/>
  <c r="F63" i="11"/>
  <c r="G63" i="11"/>
  <c r="H63" i="11"/>
  <c r="I63" i="11"/>
  <c r="J63" i="11"/>
  <c r="K63" i="11"/>
  <c r="C64" i="11"/>
  <c r="D64" i="11"/>
  <c r="E64" i="11"/>
  <c r="F64" i="11"/>
  <c r="G64" i="11"/>
  <c r="H64" i="11"/>
  <c r="I64" i="11"/>
  <c r="J64" i="11"/>
  <c r="K64" i="11"/>
  <c r="C65" i="11"/>
  <c r="D65" i="11"/>
  <c r="E65" i="11"/>
  <c r="F65" i="11"/>
  <c r="G65" i="11"/>
  <c r="H65" i="11"/>
  <c r="I65" i="11"/>
  <c r="J65" i="11"/>
  <c r="K65" i="11"/>
  <c r="C66" i="11"/>
  <c r="D66" i="11"/>
  <c r="E66" i="11"/>
  <c r="F66" i="11"/>
  <c r="G66" i="11"/>
  <c r="H66" i="11"/>
  <c r="I66" i="11"/>
  <c r="J66" i="11"/>
  <c r="K66" i="11"/>
  <c r="C67" i="11"/>
  <c r="D67" i="11"/>
  <c r="E67" i="11"/>
  <c r="F67" i="11"/>
  <c r="G67" i="11"/>
  <c r="H67" i="11"/>
  <c r="I67" i="11"/>
  <c r="J67" i="11"/>
  <c r="K67" i="11"/>
  <c r="C68" i="11"/>
  <c r="D68" i="11"/>
  <c r="E68" i="11"/>
  <c r="F68" i="11"/>
  <c r="G68" i="11"/>
  <c r="H68" i="11"/>
  <c r="I68" i="11"/>
  <c r="J68" i="11"/>
  <c r="K68" i="11"/>
  <c r="C69" i="11"/>
  <c r="D69" i="11"/>
  <c r="E69" i="11"/>
  <c r="F69" i="11"/>
  <c r="G69" i="11"/>
  <c r="H69" i="11"/>
  <c r="I69" i="11"/>
  <c r="J69" i="11"/>
  <c r="K69" i="11"/>
  <c r="C70" i="11"/>
  <c r="D70" i="11"/>
  <c r="E70" i="11"/>
  <c r="F70" i="11"/>
  <c r="G70" i="11"/>
  <c r="H70" i="11"/>
  <c r="I70" i="11"/>
  <c r="J70" i="11"/>
  <c r="K70" i="11"/>
  <c r="C71" i="11"/>
  <c r="D71" i="11"/>
  <c r="E71" i="11"/>
  <c r="F71" i="11"/>
  <c r="G71" i="11"/>
  <c r="H71" i="11"/>
  <c r="I71" i="11"/>
  <c r="J71" i="11"/>
  <c r="K71" i="11"/>
  <c r="C72" i="11"/>
  <c r="D72" i="11"/>
  <c r="E72" i="11"/>
  <c r="F72" i="11"/>
  <c r="G72" i="11"/>
  <c r="H72" i="11"/>
  <c r="I72" i="11"/>
  <c r="J72" i="11"/>
  <c r="K72" i="11"/>
  <c r="C73" i="11"/>
  <c r="D73" i="11"/>
  <c r="E73" i="11"/>
  <c r="F73" i="11"/>
  <c r="G73" i="11"/>
  <c r="H73" i="11"/>
  <c r="I73" i="11"/>
  <c r="J73" i="11"/>
  <c r="K73" i="11"/>
  <c r="C74" i="11"/>
  <c r="D74" i="11"/>
  <c r="E74" i="11"/>
  <c r="F74" i="11"/>
  <c r="G74" i="11"/>
  <c r="H74" i="11"/>
  <c r="I74" i="11"/>
  <c r="J74" i="11"/>
  <c r="K74" i="11"/>
  <c r="C75" i="11"/>
  <c r="D75" i="11"/>
  <c r="E75" i="11"/>
  <c r="F75" i="11"/>
  <c r="G75" i="11"/>
  <c r="H75" i="11"/>
  <c r="I75" i="11"/>
  <c r="J75" i="11"/>
  <c r="K75" i="11"/>
  <c r="C76" i="11"/>
  <c r="D76" i="11"/>
  <c r="E76" i="11"/>
  <c r="F76" i="11"/>
  <c r="G76" i="11"/>
  <c r="H76" i="11"/>
  <c r="I76" i="11"/>
  <c r="J76" i="11"/>
  <c r="K76" i="11"/>
  <c r="C77" i="11"/>
  <c r="D77" i="11"/>
  <c r="E77" i="11"/>
  <c r="F77" i="11"/>
  <c r="G77" i="11"/>
  <c r="H77" i="11"/>
  <c r="I77" i="11"/>
  <c r="J77" i="11"/>
  <c r="K77" i="11"/>
  <c r="C78" i="11"/>
  <c r="D78" i="11"/>
  <c r="E78" i="11"/>
  <c r="F78" i="11"/>
  <c r="G78" i="11"/>
  <c r="H78" i="11"/>
  <c r="I78" i="11"/>
  <c r="J78" i="11"/>
  <c r="K78" i="11"/>
  <c r="K44" i="11"/>
  <c r="J44" i="11"/>
  <c r="I44" i="11"/>
  <c r="H44" i="11"/>
  <c r="G44" i="11"/>
  <c r="F44" i="11"/>
  <c r="E44" i="11"/>
  <c r="D44" i="11"/>
  <c r="C44"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C25" i="11"/>
  <c r="D25" i="11"/>
  <c r="E25" i="11"/>
  <c r="F25" i="11"/>
  <c r="G25" i="11"/>
  <c r="H25" i="11"/>
  <c r="I25" i="11"/>
  <c r="J25" i="11"/>
  <c r="K25" i="11"/>
  <c r="C26" i="11"/>
  <c r="D26" i="11"/>
  <c r="E26" i="11"/>
  <c r="F26" i="11"/>
  <c r="G26" i="11"/>
  <c r="H26" i="11"/>
  <c r="I26" i="11"/>
  <c r="J26" i="11"/>
  <c r="K26" i="11"/>
  <c r="C27" i="11"/>
  <c r="D27" i="11"/>
  <c r="E27" i="11"/>
  <c r="F27" i="11"/>
  <c r="G27" i="11"/>
  <c r="H27" i="11"/>
  <c r="I27" i="11"/>
  <c r="J27" i="11"/>
  <c r="K27" i="11"/>
  <c r="C28" i="11"/>
  <c r="D28" i="11"/>
  <c r="E28" i="11"/>
  <c r="F28" i="11"/>
  <c r="G28" i="11"/>
  <c r="H28" i="11"/>
  <c r="I28" i="11"/>
  <c r="J28" i="11"/>
  <c r="K28" i="11"/>
  <c r="C29" i="11"/>
  <c r="D29" i="11"/>
  <c r="E29" i="11"/>
  <c r="F29" i="11"/>
  <c r="G29" i="11"/>
  <c r="H29" i="11"/>
  <c r="I29" i="11"/>
  <c r="J29" i="11"/>
  <c r="K29" i="11"/>
  <c r="C30" i="11"/>
  <c r="D30" i="11"/>
  <c r="E30" i="11"/>
  <c r="F30" i="11"/>
  <c r="G30" i="11"/>
  <c r="H30" i="11"/>
  <c r="I30" i="11"/>
  <c r="J30" i="11"/>
  <c r="K30" i="11"/>
  <c r="C31" i="11"/>
  <c r="D31" i="11"/>
  <c r="E31" i="11"/>
  <c r="F31" i="11"/>
  <c r="G31" i="11"/>
  <c r="H31" i="11"/>
  <c r="I31" i="11"/>
  <c r="J31" i="11"/>
  <c r="K31" i="11"/>
  <c r="C32" i="11"/>
  <c r="D32" i="11"/>
  <c r="E32" i="11"/>
  <c r="F32" i="11"/>
  <c r="G32" i="11"/>
  <c r="H32" i="11"/>
  <c r="I32" i="11"/>
  <c r="J32" i="11"/>
  <c r="K32" i="11"/>
  <c r="C33" i="11"/>
  <c r="D33" i="11"/>
  <c r="E33" i="11"/>
  <c r="F33" i="11"/>
  <c r="G33" i="11"/>
  <c r="H33" i="11"/>
  <c r="I33" i="11"/>
  <c r="J33" i="11"/>
  <c r="K33" i="11"/>
  <c r="C34" i="11"/>
  <c r="D34" i="11"/>
  <c r="E34" i="11"/>
  <c r="F34" i="11"/>
  <c r="G34" i="11"/>
  <c r="H34" i="11"/>
  <c r="I34" i="11"/>
  <c r="J34" i="11"/>
  <c r="K34" i="11"/>
  <c r="C35" i="11"/>
  <c r="D35" i="11"/>
  <c r="E35" i="11"/>
  <c r="F35" i="11"/>
  <c r="G35" i="11"/>
  <c r="H35" i="11"/>
  <c r="I35" i="11"/>
  <c r="J35" i="11"/>
  <c r="K35" i="11"/>
  <c r="C36" i="11"/>
  <c r="D36" i="11"/>
  <c r="E36" i="11"/>
  <c r="F36" i="11"/>
  <c r="G36" i="11"/>
  <c r="H36" i="11"/>
  <c r="I36" i="11"/>
  <c r="J36" i="11"/>
  <c r="K36" i="11"/>
  <c r="C37" i="11"/>
  <c r="D37" i="11"/>
  <c r="E37" i="11"/>
  <c r="F37" i="11"/>
  <c r="G37" i="11"/>
  <c r="H37" i="11"/>
  <c r="I37" i="11"/>
  <c r="J37" i="11"/>
  <c r="K37" i="11"/>
  <c r="C38" i="11"/>
  <c r="D38" i="11"/>
  <c r="E38" i="11"/>
  <c r="F38" i="11"/>
  <c r="G38" i="11"/>
  <c r="H38" i="11"/>
  <c r="I38" i="11"/>
  <c r="J38" i="11"/>
  <c r="K38" i="11"/>
  <c r="K5" i="11"/>
  <c r="J5" i="11"/>
  <c r="I5" i="11"/>
  <c r="H5" i="11"/>
  <c r="G5" i="11"/>
  <c r="F5" i="11"/>
  <c r="E5" i="11"/>
  <c r="D5" i="11"/>
  <c r="C5" i="11"/>
  <c r="O55" i="59"/>
  <c r="N55" i="59"/>
  <c r="M55" i="59"/>
  <c r="L55" i="59"/>
  <c r="K55" i="59"/>
  <c r="J55" i="59"/>
  <c r="I55" i="59"/>
  <c r="H55" i="59"/>
  <c r="G55" i="59"/>
  <c r="F55" i="59"/>
  <c r="C55" i="59"/>
  <c r="O54" i="59"/>
  <c r="N54" i="59"/>
  <c r="M54" i="59"/>
  <c r="L54" i="59"/>
  <c r="K54" i="59"/>
  <c r="J54" i="59"/>
  <c r="I54" i="59"/>
  <c r="H54" i="59"/>
  <c r="G54" i="59"/>
  <c r="F54" i="59"/>
  <c r="C54" i="59"/>
  <c r="O53" i="59"/>
  <c r="N53" i="59"/>
  <c r="M53" i="59"/>
  <c r="L53" i="59"/>
  <c r="K53" i="59"/>
  <c r="J53" i="59"/>
  <c r="I53" i="59"/>
  <c r="H53" i="59"/>
  <c r="G53" i="59"/>
  <c r="F53" i="59"/>
  <c r="C53" i="59"/>
  <c r="O52" i="59"/>
  <c r="N52" i="59"/>
  <c r="M52" i="59"/>
  <c r="L52" i="59"/>
  <c r="K52" i="59"/>
  <c r="Q52" i="59" s="1"/>
  <c r="J52" i="59"/>
  <c r="I52" i="59"/>
  <c r="H52" i="59"/>
  <c r="G52" i="59"/>
  <c r="F52" i="59"/>
  <c r="C52" i="59"/>
  <c r="O51" i="59"/>
  <c r="N51" i="59"/>
  <c r="M51" i="59"/>
  <c r="Q51" i="59" s="1"/>
  <c r="L51" i="59"/>
  <c r="K51" i="59"/>
  <c r="J51" i="59"/>
  <c r="I51" i="59"/>
  <c r="H51" i="59"/>
  <c r="G51" i="59"/>
  <c r="F51" i="59"/>
  <c r="C51" i="59"/>
  <c r="O50" i="59"/>
  <c r="N50" i="59"/>
  <c r="M50" i="59"/>
  <c r="L50" i="59"/>
  <c r="K50" i="59"/>
  <c r="J50" i="59"/>
  <c r="P50" i="59" s="1"/>
  <c r="I50" i="59"/>
  <c r="H50" i="59"/>
  <c r="G50" i="59"/>
  <c r="F50" i="59"/>
  <c r="C50" i="59"/>
  <c r="O49" i="59"/>
  <c r="N49" i="59"/>
  <c r="M49" i="59"/>
  <c r="L49" i="59"/>
  <c r="K49" i="59"/>
  <c r="Q49" i="59" s="1"/>
  <c r="J49" i="59"/>
  <c r="I49" i="59"/>
  <c r="H49" i="59"/>
  <c r="G49" i="59"/>
  <c r="F49" i="59"/>
  <c r="C49" i="59"/>
  <c r="O48" i="59"/>
  <c r="Q48" i="59" s="1"/>
  <c r="N48" i="59"/>
  <c r="M48" i="59"/>
  <c r="L48" i="59"/>
  <c r="K48" i="59"/>
  <c r="J48" i="59"/>
  <c r="I48" i="59"/>
  <c r="H48" i="59"/>
  <c r="G48" i="59"/>
  <c r="F48" i="59"/>
  <c r="C48" i="59"/>
  <c r="O47" i="59"/>
  <c r="N47" i="59"/>
  <c r="M47" i="59"/>
  <c r="L47" i="59"/>
  <c r="K47" i="59"/>
  <c r="J47" i="59"/>
  <c r="P47" i="59" s="1"/>
  <c r="I47" i="59"/>
  <c r="H47" i="59"/>
  <c r="G47" i="59"/>
  <c r="F47" i="59"/>
  <c r="C47" i="59"/>
  <c r="O46" i="59"/>
  <c r="N46" i="59"/>
  <c r="M46" i="59"/>
  <c r="L46" i="59"/>
  <c r="K46" i="59"/>
  <c r="J46" i="59"/>
  <c r="I46" i="59"/>
  <c r="H46" i="59"/>
  <c r="G46" i="59"/>
  <c r="F46" i="59"/>
  <c r="C46" i="59"/>
  <c r="O45" i="59"/>
  <c r="N45" i="59"/>
  <c r="M45" i="59"/>
  <c r="L45" i="59"/>
  <c r="K45" i="59"/>
  <c r="J45" i="59"/>
  <c r="I45" i="59"/>
  <c r="H45" i="59"/>
  <c r="G45" i="59"/>
  <c r="F45" i="59"/>
  <c r="C45" i="59"/>
  <c r="O44" i="59"/>
  <c r="N44" i="59"/>
  <c r="M44" i="59"/>
  <c r="L44" i="59"/>
  <c r="K44" i="59"/>
  <c r="Q44" i="59" s="1"/>
  <c r="J44" i="59"/>
  <c r="I44" i="59"/>
  <c r="H44" i="59"/>
  <c r="G44" i="59"/>
  <c r="F44" i="59"/>
  <c r="C44" i="59"/>
  <c r="O43" i="59"/>
  <c r="N43" i="59"/>
  <c r="M43" i="59"/>
  <c r="Q43" i="59" s="1"/>
  <c r="L43" i="59"/>
  <c r="K43" i="59"/>
  <c r="J43" i="59"/>
  <c r="I43" i="59"/>
  <c r="H43" i="59"/>
  <c r="G43" i="59"/>
  <c r="F43" i="59"/>
  <c r="C43" i="59"/>
  <c r="O42" i="59"/>
  <c r="N42" i="59"/>
  <c r="M42" i="59"/>
  <c r="L42" i="59"/>
  <c r="K42" i="59"/>
  <c r="J42" i="59"/>
  <c r="P42" i="59" s="1"/>
  <c r="I42" i="59"/>
  <c r="H42" i="59"/>
  <c r="G42" i="59"/>
  <c r="F42" i="59"/>
  <c r="C42" i="59"/>
  <c r="O41" i="59"/>
  <c r="N41" i="59"/>
  <c r="M41" i="59"/>
  <c r="L41" i="59"/>
  <c r="K41" i="59"/>
  <c r="Q41" i="59" s="1"/>
  <c r="J41" i="59"/>
  <c r="I41" i="59"/>
  <c r="H41" i="59"/>
  <c r="G41" i="59"/>
  <c r="F41" i="59"/>
  <c r="C41" i="59"/>
  <c r="O40" i="59"/>
  <c r="Q40" i="59" s="1"/>
  <c r="N40" i="59"/>
  <c r="M40" i="59"/>
  <c r="L40" i="59"/>
  <c r="K40" i="59"/>
  <c r="J40" i="59"/>
  <c r="I40" i="59"/>
  <c r="H40" i="59"/>
  <c r="G40" i="59"/>
  <c r="F40" i="59"/>
  <c r="C40" i="59"/>
  <c r="O39" i="59"/>
  <c r="N39" i="59"/>
  <c r="M39" i="59"/>
  <c r="L39" i="59"/>
  <c r="K39" i="59"/>
  <c r="Q39" i="59" s="1"/>
  <c r="J39" i="59"/>
  <c r="P39" i="59" s="1"/>
  <c r="I39" i="59"/>
  <c r="H39" i="59"/>
  <c r="G39" i="59"/>
  <c r="F39" i="59"/>
  <c r="C39" i="59"/>
  <c r="O38" i="59"/>
  <c r="N38" i="59"/>
  <c r="M38" i="59"/>
  <c r="L38" i="59"/>
  <c r="K38" i="59"/>
  <c r="J38" i="59"/>
  <c r="I38" i="59"/>
  <c r="H38" i="59"/>
  <c r="G38" i="59"/>
  <c r="F38" i="59"/>
  <c r="C38" i="59"/>
  <c r="O37" i="59"/>
  <c r="N37" i="59"/>
  <c r="M37" i="59"/>
  <c r="L37" i="59"/>
  <c r="K37" i="59"/>
  <c r="J37" i="59"/>
  <c r="I37" i="59"/>
  <c r="H37" i="59"/>
  <c r="G37" i="59"/>
  <c r="F37" i="59"/>
  <c r="C37" i="59"/>
  <c r="O36" i="59"/>
  <c r="N36" i="59"/>
  <c r="M36" i="59"/>
  <c r="L36" i="59"/>
  <c r="K36" i="59"/>
  <c r="J36" i="59"/>
  <c r="I36" i="59"/>
  <c r="H36" i="59"/>
  <c r="G36" i="59"/>
  <c r="F36" i="59"/>
  <c r="C36" i="59"/>
  <c r="O35" i="59"/>
  <c r="N35" i="59"/>
  <c r="P35" i="59" s="1"/>
  <c r="M35" i="59"/>
  <c r="L35" i="59"/>
  <c r="K35" i="59"/>
  <c r="J35" i="59"/>
  <c r="I35" i="59"/>
  <c r="H35" i="59"/>
  <c r="G35" i="59"/>
  <c r="F35" i="59"/>
  <c r="C35" i="59"/>
  <c r="O34" i="59"/>
  <c r="N34" i="59"/>
  <c r="M34" i="59"/>
  <c r="L34" i="59"/>
  <c r="K34" i="59"/>
  <c r="J34" i="59"/>
  <c r="I34" i="59"/>
  <c r="H34" i="59"/>
  <c r="G34" i="59"/>
  <c r="F34" i="59"/>
  <c r="C34" i="59"/>
  <c r="O33" i="59"/>
  <c r="N33" i="59"/>
  <c r="M33" i="59"/>
  <c r="L33" i="59"/>
  <c r="K33" i="59"/>
  <c r="J33" i="59"/>
  <c r="I33" i="59"/>
  <c r="H33" i="59"/>
  <c r="G33" i="59"/>
  <c r="F33" i="59"/>
  <c r="C33" i="59"/>
  <c r="O32" i="59"/>
  <c r="Q32" i="59" s="1"/>
  <c r="N32" i="59"/>
  <c r="M32" i="59"/>
  <c r="L32" i="59"/>
  <c r="K32" i="59"/>
  <c r="J32" i="59"/>
  <c r="I32" i="59"/>
  <c r="H32" i="59"/>
  <c r="G32" i="59"/>
  <c r="F32" i="59"/>
  <c r="C32" i="59"/>
  <c r="O31" i="59"/>
  <c r="N31" i="59"/>
  <c r="M31" i="59"/>
  <c r="L31" i="59"/>
  <c r="K31" i="59"/>
  <c r="Q31" i="59" s="1"/>
  <c r="J31" i="59"/>
  <c r="I31" i="59"/>
  <c r="H31" i="59"/>
  <c r="G31" i="59"/>
  <c r="F31" i="59"/>
  <c r="C31" i="59"/>
  <c r="O30" i="59"/>
  <c r="N30" i="59"/>
  <c r="M30" i="59"/>
  <c r="L30" i="59"/>
  <c r="K30" i="59"/>
  <c r="J30" i="59"/>
  <c r="I30" i="59"/>
  <c r="H30" i="59"/>
  <c r="G30" i="59"/>
  <c r="F30" i="59"/>
  <c r="C30" i="59"/>
  <c r="O29" i="59"/>
  <c r="N29" i="59"/>
  <c r="M29" i="59"/>
  <c r="L29" i="59"/>
  <c r="K29" i="59"/>
  <c r="J29" i="59"/>
  <c r="I29" i="59"/>
  <c r="H29" i="59"/>
  <c r="G29" i="59"/>
  <c r="F29" i="59"/>
  <c r="C29" i="59"/>
  <c r="O28" i="59"/>
  <c r="N28" i="59"/>
  <c r="M28" i="59"/>
  <c r="L28" i="59"/>
  <c r="K28" i="59"/>
  <c r="J28" i="59"/>
  <c r="I28" i="59"/>
  <c r="H28" i="59"/>
  <c r="G28" i="59"/>
  <c r="F28" i="59"/>
  <c r="C28" i="59"/>
  <c r="O27" i="59"/>
  <c r="N27" i="59"/>
  <c r="M27" i="59"/>
  <c r="L27" i="59"/>
  <c r="K27" i="59"/>
  <c r="J27" i="59"/>
  <c r="I27" i="59"/>
  <c r="H27" i="59"/>
  <c r="G27" i="59"/>
  <c r="F27" i="59"/>
  <c r="C27" i="59"/>
  <c r="O26" i="59"/>
  <c r="N26" i="59"/>
  <c r="M26" i="59"/>
  <c r="L26" i="59"/>
  <c r="K26" i="59"/>
  <c r="J26" i="59"/>
  <c r="I26" i="59"/>
  <c r="H26" i="59"/>
  <c r="G26" i="59"/>
  <c r="F26" i="59"/>
  <c r="C26" i="59"/>
  <c r="O25" i="59"/>
  <c r="N25" i="59"/>
  <c r="M25" i="59"/>
  <c r="L25" i="59"/>
  <c r="K25" i="59"/>
  <c r="J25" i="59"/>
  <c r="I25" i="59"/>
  <c r="H25" i="59"/>
  <c r="G25" i="59"/>
  <c r="F25" i="59"/>
  <c r="C25" i="59"/>
  <c r="O24" i="59"/>
  <c r="N24" i="59"/>
  <c r="M24" i="59"/>
  <c r="L24" i="59"/>
  <c r="K24" i="59"/>
  <c r="J24" i="59"/>
  <c r="I24" i="59"/>
  <c r="H24" i="59"/>
  <c r="G24" i="59"/>
  <c r="F24" i="59"/>
  <c r="C24" i="59"/>
  <c r="O23" i="59"/>
  <c r="N23" i="59"/>
  <c r="M23" i="59"/>
  <c r="L23" i="59"/>
  <c r="K23" i="59"/>
  <c r="J23" i="59"/>
  <c r="I23" i="59"/>
  <c r="H23" i="59"/>
  <c r="G23" i="59"/>
  <c r="F23" i="59"/>
  <c r="C23" i="59"/>
  <c r="O22" i="59"/>
  <c r="N22" i="59"/>
  <c r="M22" i="59"/>
  <c r="L22" i="59"/>
  <c r="K22" i="59"/>
  <c r="J22" i="59"/>
  <c r="I22" i="59"/>
  <c r="H22" i="59"/>
  <c r="G22" i="59"/>
  <c r="F22" i="59"/>
  <c r="C22" i="59"/>
  <c r="O21" i="59"/>
  <c r="N21" i="59"/>
  <c r="P21" i="59" s="1"/>
  <c r="M21" i="59"/>
  <c r="L21" i="59"/>
  <c r="K21" i="59"/>
  <c r="J21" i="59"/>
  <c r="I21" i="59"/>
  <c r="H21" i="59"/>
  <c r="G21" i="59"/>
  <c r="F21" i="59"/>
  <c r="C21" i="59"/>
  <c r="O20" i="59"/>
  <c r="N20" i="59"/>
  <c r="M20" i="59"/>
  <c r="L20" i="59"/>
  <c r="K20" i="59"/>
  <c r="J20" i="59"/>
  <c r="P20" i="59" s="1"/>
  <c r="I20" i="59"/>
  <c r="H20" i="59"/>
  <c r="G20" i="59"/>
  <c r="F20" i="59"/>
  <c r="C20" i="59"/>
  <c r="O19" i="59"/>
  <c r="N19" i="59"/>
  <c r="M19" i="59"/>
  <c r="L19" i="59"/>
  <c r="K19" i="59"/>
  <c r="J19" i="59"/>
  <c r="I19" i="59"/>
  <c r="H19" i="59"/>
  <c r="G19" i="59"/>
  <c r="F19" i="59"/>
  <c r="C19" i="59"/>
  <c r="O18" i="59"/>
  <c r="N18" i="59"/>
  <c r="M18" i="59"/>
  <c r="L18" i="59"/>
  <c r="K18" i="59"/>
  <c r="J18" i="59"/>
  <c r="P18" i="59" s="1"/>
  <c r="I18" i="59"/>
  <c r="H18" i="59"/>
  <c r="G18" i="59"/>
  <c r="F18" i="59"/>
  <c r="C18" i="59"/>
  <c r="O17" i="59"/>
  <c r="N17" i="59"/>
  <c r="M17" i="59"/>
  <c r="L17" i="59"/>
  <c r="K17" i="59"/>
  <c r="Q17" i="59" s="1"/>
  <c r="J17" i="59"/>
  <c r="I17" i="59"/>
  <c r="H17" i="59"/>
  <c r="G17" i="59"/>
  <c r="F17" i="59"/>
  <c r="C17" i="59"/>
  <c r="O16" i="59"/>
  <c r="N16" i="59"/>
  <c r="M16" i="59"/>
  <c r="L16" i="59"/>
  <c r="K16" i="59"/>
  <c r="J16" i="59"/>
  <c r="I16" i="59"/>
  <c r="H16" i="59"/>
  <c r="G16" i="59"/>
  <c r="F16" i="59"/>
  <c r="C16" i="59"/>
  <c r="BQ44" i="58"/>
  <c r="AI44" i="58"/>
  <c r="B44" i="58"/>
  <c r="BQ43" i="58"/>
  <c r="AI43" i="58"/>
  <c r="B43" i="58"/>
  <c r="BQ42" i="58"/>
  <c r="AI42" i="58"/>
  <c r="B42" i="58"/>
  <c r="CU41" i="58"/>
  <c r="BQ41" i="58"/>
  <c r="BM41" i="58"/>
  <c r="AI41" i="58"/>
  <c r="AE41" i="58"/>
  <c r="B41" i="58"/>
  <c r="CU40" i="58"/>
  <c r="BQ40" i="58"/>
  <c r="BM40" i="58"/>
  <c r="AI40" i="58"/>
  <c r="AE40" i="58"/>
  <c r="B40" i="58"/>
  <c r="CU39" i="58"/>
  <c r="BQ39" i="58"/>
  <c r="BM39" i="58"/>
  <c r="AI39" i="58"/>
  <c r="AE39" i="58"/>
  <c r="B39" i="58"/>
  <c r="CU38" i="58"/>
  <c r="BQ38" i="58"/>
  <c r="BM38" i="58"/>
  <c r="AI38" i="58"/>
  <c r="AE38" i="58"/>
  <c r="AA38" i="58"/>
  <c r="B38" i="58"/>
  <c r="CU37" i="58"/>
  <c r="BQ37" i="58"/>
  <c r="BM37" i="58"/>
  <c r="AI37" i="58"/>
  <c r="AE37" i="58"/>
  <c r="AA37" i="58"/>
  <c r="B37" i="58"/>
  <c r="CU36" i="58"/>
  <c r="BQ36" i="58"/>
  <c r="BM36" i="58"/>
  <c r="AI36" i="58"/>
  <c r="AE36" i="58"/>
  <c r="AA36" i="58"/>
  <c r="B36" i="58"/>
  <c r="CU35" i="58"/>
  <c r="BQ35" i="58"/>
  <c r="BM35" i="58"/>
  <c r="AI35" i="58"/>
  <c r="AE35" i="58"/>
  <c r="AA35" i="58"/>
  <c r="B35" i="58"/>
  <c r="CU34" i="58"/>
  <c r="BQ34" i="58"/>
  <c r="BM34" i="58"/>
  <c r="AI34" i="58"/>
  <c r="AE34" i="58"/>
  <c r="AA34" i="58"/>
  <c r="B34" i="58"/>
  <c r="CU33" i="58"/>
  <c r="BQ33" i="58"/>
  <c r="BM33" i="58"/>
  <c r="AI33" i="58"/>
  <c r="AE33" i="58"/>
  <c r="AA33" i="58"/>
  <c r="B33" i="58"/>
  <c r="CU32" i="58"/>
  <c r="BQ32" i="58"/>
  <c r="BM32" i="58"/>
  <c r="AI32" i="58"/>
  <c r="AE32" i="58"/>
  <c r="AA32" i="58"/>
  <c r="B32" i="58"/>
  <c r="CU31" i="58"/>
  <c r="BQ31" i="58"/>
  <c r="BM31" i="58"/>
  <c r="AI31" i="58"/>
  <c r="AE31" i="58"/>
  <c r="AA31" i="58"/>
  <c r="B31" i="58"/>
  <c r="CU30" i="58"/>
  <c r="BQ30" i="58"/>
  <c r="BM30" i="58"/>
  <c r="AI30" i="58"/>
  <c r="AE30" i="58"/>
  <c r="AA30" i="58"/>
  <c r="B30" i="58"/>
  <c r="CU29" i="58"/>
  <c r="BQ29" i="58"/>
  <c r="BM29" i="58"/>
  <c r="AI29" i="58"/>
  <c r="AE29" i="58"/>
  <c r="AA29" i="58"/>
  <c r="B29" i="58"/>
  <c r="CU28" i="58"/>
  <c r="BQ28" i="58"/>
  <c r="BM28" i="58"/>
  <c r="AI28" i="58"/>
  <c r="AE28" i="58"/>
  <c r="AA28" i="58"/>
  <c r="B28" i="58"/>
  <c r="CU27" i="58"/>
  <c r="BQ27" i="58"/>
  <c r="BM27" i="58"/>
  <c r="AI27" i="58"/>
  <c r="AE27" i="58"/>
  <c r="AA27" i="58"/>
  <c r="B27" i="58"/>
  <c r="CU26" i="58"/>
  <c r="BQ26" i="58"/>
  <c r="BM26" i="58"/>
  <c r="AI26" i="58"/>
  <c r="AE26" i="58"/>
  <c r="AA26" i="58"/>
  <c r="B26" i="58"/>
  <c r="CU25" i="58"/>
  <c r="BQ25" i="58"/>
  <c r="BM25" i="58"/>
  <c r="AI25" i="58"/>
  <c r="AE25" i="58"/>
  <c r="AA25" i="58"/>
  <c r="B25" i="58"/>
  <c r="CU24" i="58"/>
  <c r="BQ24" i="58"/>
  <c r="BM24" i="58"/>
  <c r="AI24" i="58"/>
  <c r="AE24" i="58"/>
  <c r="AA24" i="58"/>
  <c r="B24" i="58"/>
  <c r="CU23" i="58"/>
  <c r="BQ23" i="58"/>
  <c r="BM23" i="58"/>
  <c r="AI23" i="58"/>
  <c r="AE23" i="58"/>
  <c r="AA23" i="58"/>
  <c r="B23" i="58"/>
  <c r="CU22" i="58"/>
  <c r="BQ22" i="58"/>
  <c r="BM22" i="58"/>
  <c r="AI22" i="58"/>
  <c r="AE22" i="58"/>
  <c r="AA22" i="58"/>
  <c r="B22" i="58"/>
  <c r="CU21" i="58"/>
  <c r="BQ21" i="58"/>
  <c r="BM21" i="58"/>
  <c r="AI21" i="58"/>
  <c r="AE21" i="58"/>
  <c r="AA21" i="58"/>
  <c r="B21" i="58"/>
  <c r="CU20" i="58"/>
  <c r="BQ20" i="58"/>
  <c r="BM20" i="58"/>
  <c r="AI20" i="58"/>
  <c r="AE20" i="58"/>
  <c r="AA20" i="58"/>
  <c r="B20" i="58"/>
  <c r="CU19" i="58"/>
  <c r="BQ19" i="58"/>
  <c r="BM19" i="58"/>
  <c r="AI19" i="58"/>
  <c r="AE19" i="58"/>
  <c r="AA19" i="58"/>
  <c r="B19" i="58"/>
  <c r="CU18" i="58"/>
  <c r="BQ18" i="58"/>
  <c r="BM18" i="58"/>
  <c r="AI18" i="58"/>
  <c r="AE18" i="58"/>
  <c r="AA18" i="58"/>
  <c r="B18" i="58"/>
  <c r="CU17" i="58"/>
  <c r="BQ17" i="58"/>
  <c r="BM17" i="58"/>
  <c r="AI17" i="58"/>
  <c r="AE17" i="58"/>
  <c r="AA17" i="58"/>
  <c r="B17" i="58"/>
  <c r="CU16" i="58"/>
  <c r="BQ16" i="58"/>
  <c r="BM16" i="58"/>
  <c r="AI16" i="58"/>
  <c r="AE16" i="58"/>
  <c r="AA16" i="58"/>
  <c r="B16" i="58"/>
  <c r="CU15" i="58"/>
  <c r="BQ15" i="58"/>
  <c r="BM15" i="58"/>
  <c r="AI15" i="58"/>
  <c r="AE15" i="58"/>
  <c r="AA15" i="58"/>
  <c r="B15" i="58"/>
  <c r="CU14" i="58"/>
  <c r="BQ14" i="58"/>
  <c r="BM14" i="58"/>
  <c r="AI14" i="58"/>
  <c r="AE14" i="58"/>
  <c r="AA14" i="58"/>
  <c r="B14" i="58"/>
  <c r="CU13" i="58"/>
  <c r="BQ13" i="58"/>
  <c r="BM13" i="58"/>
  <c r="AI13" i="58"/>
  <c r="AE13" i="58"/>
  <c r="AA13" i="58"/>
  <c r="B13" i="58"/>
  <c r="CU12" i="58"/>
  <c r="BQ12" i="58"/>
  <c r="BM12" i="58"/>
  <c r="AI12" i="58"/>
  <c r="AE12" i="58"/>
  <c r="AA12" i="58"/>
  <c r="B12" i="58"/>
  <c r="CU11" i="58"/>
  <c r="BQ11" i="58"/>
  <c r="BM11" i="58"/>
  <c r="AI11" i="58"/>
  <c r="AE11" i="58"/>
  <c r="AA11" i="58"/>
  <c r="B11" i="58"/>
  <c r="CU10" i="58"/>
  <c r="BQ10" i="58"/>
  <c r="BM10" i="58"/>
  <c r="AI10" i="58"/>
  <c r="AE10" i="58"/>
  <c r="AA10" i="58"/>
  <c r="B10" i="58"/>
  <c r="CU9" i="58"/>
  <c r="BQ9" i="58"/>
  <c r="BM9" i="58"/>
  <c r="AI9" i="58"/>
  <c r="AE9" i="58"/>
  <c r="AA9" i="58"/>
  <c r="B9" i="58"/>
  <c r="CU8" i="58"/>
  <c r="BQ8" i="58"/>
  <c r="BM8" i="58"/>
  <c r="AI8" i="58"/>
  <c r="AE8" i="58"/>
  <c r="AA8" i="58"/>
  <c r="B8" i="58"/>
  <c r="CU7" i="58"/>
  <c r="BQ7" i="58"/>
  <c r="BM7" i="58"/>
  <c r="AI7" i="58"/>
  <c r="AE7" i="58"/>
  <c r="AA7" i="58"/>
  <c r="B7" i="58"/>
  <c r="CU6" i="58"/>
  <c r="BQ6" i="58"/>
  <c r="BM6" i="58"/>
  <c r="AI6" i="58"/>
  <c r="AE6" i="58"/>
  <c r="AA6" i="58"/>
  <c r="B6" i="58"/>
  <c r="CU5" i="58"/>
  <c r="BQ5" i="58"/>
  <c r="BM5" i="58"/>
  <c r="AI5" i="58"/>
  <c r="AE5" i="58"/>
  <c r="AA5" i="58"/>
  <c r="B5" i="58"/>
  <c r="O55" i="57"/>
  <c r="N55" i="57"/>
  <c r="M55" i="57"/>
  <c r="L55" i="57"/>
  <c r="K55" i="57"/>
  <c r="J55" i="57"/>
  <c r="P55" i="57" s="1"/>
  <c r="I55" i="57"/>
  <c r="H55" i="57"/>
  <c r="G55" i="57"/>
  <c r="F55" i="57"/>
  <c r="C55" i="57"/>
  <c r="O54" i="57"/>
  <c r="N54" i="57"/>
  <c r="M54" i="57"/>
  <c r="L54" i="57"/>
  <c r="K54" i="57"/>
  <c r="Q54" i="57" s="1"/>
  <c r="J54" i="57"/>
  <c r="P54" i="57" s="1"/>
  <c r="I54" i="57"/>
  <c r="H54" i="57"/>
  <c r="G54" i="57"/>
  <c r="F54" i="57"/>
  <c r="C54" i="57"/>
  <c r="O53" i="57"/>
  <c r="N53" i="57"/>
  <c r="M53" i="57"/>
  <c r="L53" i="57"/>
  <c r="K53" i="57"/>
  <c r="Q53" i="57" s="1"/>
  <c r="J53" i="57"/>
  <c r="P53" i="57" s="1"/>
  <c r="I53" i="57"/>
  <c r="H53" i="57"/>
  <c r="G53" i="57"/>
  <c r="F53" i="57"/>
  <c r="C53" i="57"/>
  <c r="O52" i="57"/>
  <c r="N52" i="57"/>
  <c r="M52" i="57"/>
  <c r="L52" i="57"/>
  <c r="K52" i="57"/>
  <c r="J52" i="57"/>
  <c r="I52" i="57"/>
  <c r="H52" i="57"/>
  <c r="G52" i="57"/>
  <c r="F52" i="57"/>
  <c r="C52" i="57"/>
  <c r="O51" i="57"/>
  <c r="N51" i="57"/>
  <c r="M51" i="57"/>
  <c r="L51" i="57"/>
  <c r="K51" i="57"/>
  <c r="Q51" i="57" s="1"/>
  <c r="J51" i="57"/>
  <c r="I51" i="57"/>
  <c r="H51" i="57"/>
  <c r="G51" i="57"/>
  <c r="F51" i="57"/>
  <c r="C51" i="57"/>
  <c r="O50" i="57"/>
  <c r="N50" i="57"/>
  <c r="M50" i="57"/>
  <c r="L50" i="57"/>
  <c r="K50" i="57"/>
  <c r="J50" i="57"/>
  <c r="I50" i="57"/>
  <c r="H50" i="57"/>
  <c r="G50" i="57"/>
  <c r="F50" i="57"/>
  <c r="C50" i="57"/>
  <c r="O49" i="57"/>
  <c r="N49" i="57"/>
  <c r="M49" i="57"/>
  <c r="L49" i="57"/>
  <c r="K49" i="57"/>
  <c r="J49" i="57"/>
  <c r="I49" i="57"/>
  <c r="H49" i="57"/>
  <c r="G49" i="57"/>
  <c r="F49" i="57"/>
  <c r="C49" i="57"/>
  <c r="O48" i="57"/>
  <c r="N48" i="57"/>
  <c r="M48" i="57"/>
  <c r="L48" i="57"/>
  <c r="K48" i="57"/>
  <c r="J48" i="57"/>
  <c r="I48" i="57"/>
  <c r="H48" i="57"/>
  <c r="G48" i="57"/>
  <c r="F48" i="57"/>
  <c r="C48" i="57"/>
  <c r="O47" i="57"/>
  <c r="N47" i="57"/>
  <c r="M47" i="57"/>
  <c r="L47" i="57"/>
  <c r="K47" i="57"/>
  <c r="J47" i="57"/>
  <c r="I47" i="57"/>
  <c r="H47" i="57"/>
  <c r="G47" i="57"/>
  <c r="F47" i="57"/>
  <c r="C47" i="57"/>
  <c r="O46" i="57"/>
  <c r="N46" i="57"/>
  <c r="M46" i="57"/>
  <c r="L46" i="57"/>
  <c r="K46" i="57"/>
  <c r="J46" i="57"/>
  <c r="I46" i="57"/>
  <c r="H46" i="57"/>
  <c r="G46" i="57"/>
  <c r="F46" i="57"/>
  <c r="C46" i="57"/>
  <c r="O45" i="57"/>
  <c r="N45" i="57"/>
  <c r="M45" i="57"/>
  <c r="L45" i="57"/>
  <c r="K45" i="57"/>
  <c r="J45" i="57"/>
  <c r="I45" i="57"/>
  <c r="H45" i="57"/>
  <c r="G45" i="57"/>
  <c r="F45" i="57"/>
  <c r="C45" i="57"/>
  <c r="O44" i="57"/>
  <c r="N44" i="57"/>
  <c r="M44" i="57"/>
  <c r="L44" i="57"/>
  <c r="K44" i="57"/>
  <c r="J44" i="57"/>
  <c r="I44" i="57"/>
  <c r="H44" i="57"/>
  <c r="G44" i="57"/>
  <c r="F44" i="57"/>
  <c r="C44" i="57"/>
  <c r="O43" i="57"/>
  <c r="N43" i="57"/>
  <c r="M43" i="57"/>
  <c r="L43" i="57"/>
  <c r="K43" i="57"/>
  <c r="J43" i="57"/>
  <c r="I43" i="57"/>
  <c r="H43" i="57"/>
  <c r="G43" i="57"/>
  <c r="F43" i="57"/>
  <c r="C43" i="57"/>
  <c r="O42" i="57"/>
  <c r="N42" i="57"/>
  <c r="M42" i="57"/>
  <c r="L42" i="57"/>
  <c r="K42" i="57"/>
  <c r="J42" i="57"/>
  <c r="I42" i="57"/>
  <c r="H42" i="57"/>
  <c r="G42" i="57"/>
  <c r="F42" i="57"/>
  <c r="C42" i="57"/>
  <c r="O41" i="57"/>
  <c r="N41" i="57"/>
  <c r="M41" i="57"/>
  <c r="L41" i="57"/>
  <c r="K41" i="57"/>
  <c r="J41" i="57"/>
  <c r="I41" i="57"/>
  <c r="H41" i="57"/>
  <c r="G41" i="57"/>
  <c r="F41" i="57"/>
  <c r="C41" i="57"/>
  <c r="O40" i="57"/>
  <c r="N40" i="57"/>
  <c r="M40" i="57"/>
  <c r="L40" i="57"/>
  <c r="K40" i="57"/>
  <c r="J40" i="57"/>
  <c r="I40" i="57"/>
  <c r="H40" i="57"/>
  <c r="G40" i="57"/>
  <c r="F40" i="57"/>
  <c r="C40" i="57"/>
  <c r="O39" i="57"/>
  <c r="N39" i="57"/>
  <c r="M39" i="57"/>
  <c r="L39" i="57"/>
  <c r="K39" i="57"/>
  <c r="J39" i="57"/>
  <c r="I39" i="57"/>
  <c r="H39" i="57"/>
  <c r="G39" i="57"/>
  <c r="F39" i="57"/>
  <c r="C39" i="57"/>
  <c r="O38" i="57"/>
  <c r="N38" i="57"/>
  <c r="M38" i="57"/>
  <c r="L38" i="57"/>
  <c r="K38" i="57"/>
  <c r="J38" i="57"/>
  <c r="I38" i="57"/>
  <c r="H38" i="57"/>
  <c r="G38" i="57"/>
  <c r="F38" i="57"/>
  <c r="C38" i="57"/>
  <c r="O37" i="57"/>
  <c r="N37" i="57"/>
  <c r="M37" i="57"/>
  <c r="L37" i="57"/>
  <c r="K37" i="57"/>
  <c r="J37" i="57"/>
  <c r="I37" i="57"/>
  <c r="H37" i="57"/>
  <c r="G37" i="57"/>
  <c r="F37" i="57"/>
  <c r="C37" i="57"/>
  <c r="O36" i="57"/>
  <c r="N36" i="57"/>
  <c r="M36" i="57"/>
  <c r="L36" i="57"/>
  <c r="K36" i="57"/>
  <c r="J36" i="57"/>
  <c r="I36" i="57"/>
  <c r="H36" i="57"/>
  <c r="G36" i="57"/>
  <c r="F36" i="57"/>
  <c r="C36" i="57"/>
  <c r="O35" i="57"/>
  <c r="N35" i="57"/>
  <c r="M35" i="57"/>
  <c r="L35" i="57"/>
  <c r="K35" i="57"/>
  <c r="J35" i="57"/>
  <c r="I35" i="57"/>
  <c r="H35" i="57"/>
  <c r="G35" i="57"/>
  <c r="F35" i="57"/>
  <c r="C35" i="57"/>
  <c r="O34" i="57"/>
  <c r="N34" i="57"/>
  <c r="M34" i="57"/>
  <c r="L34" i="57"/>
  <c r="K34" i="57"/>
  <c r="J34" i="57"/>
  <c r="I34" i="57"/>
  <c r="H34" i="57"/>
  <c r="G34" i="57"/>
  <c r="F34" i="57"/>
  <c r="C34" i="57"/>
  <c r="O33" i="57"/>
  <c r="N33" i="57"/>
  <c r="M33" i="57"/>
  <c r="L33" i="57"/>
  <c r="K33" i="57"/>
  <c r="J33" i="57"/>
  <c r="I33" i="57"/>
  <c r="H33" i="57"/>
  <c r="G33" i="57"/>
  <c r="F33" i="57"/>
  <c r="C33" i="57"/>
  <c r="O32" i="57"/>
  <c r="N32" i="57"/>
  <c r="M32" i="57"/>
  <c r="L32" i="57"/>
  <c r="P32" i="57" s="1"/>
  <c r="K32" i="57"/>
  <c r="J32" i="57"/>
  <c r="I32" i="57"/>
  <c r="H32" i="57"/>
  <c r="G32" i="57"/>
  <c r="F32" i="57"/>
  <c r="C32" i="57"/>
  <c r="O31" i="57"/>
  <c r="N31" i="57"/>
  <c r="M31" i="57"/>
  <c r="L31" i="57"/>
  <c r="K31" i="57"/>
  <c r="J31" i="57"/>
  <c r="I31" i="57"/>
  <c r="H31" i="57"/>
  <c r="G31" i="57"/>
  <c r="F31" i="57"/>
  <c r="C31" i="57"/>
  <c r="O30" i="57"/>
  <c r="N30" i="57"/>
  <c r="M30" i="57"/>
  <c r="L30" i="57"/>
  <c r="K30" i="57"/>
  <c r="J30" i="57"/>
  <c r="I30" i="57"/>
  <c r="H30" i="57"/>
  <c r="G30" i="57"/>
  <c r="F30" i="57"/>
  <c r="C30" i="57"/>
  <c r="O29" i="57"/>
  <c r="N29" i="57"/>
  <c r="M29" i="57"/>
  <c r="Q29" i="57" s="1"/>
  <c r="L29" i="57"/>
  <c r="K29" i="57"/>
  <c r="J29" i="57"/>
  <c r="I29" i="57"/>
  <c r="H29" i="57"/>
  <c r="G29" i="57"/>
  <c r="F29" i="57"/>
  <c r="C29" i="57"/>
  <c r="O28" i="57"/>
  <c r="N28" i="57"/>
  <c r="M28" i="57"/>
  <c r="L28" i="57"/>
  <c r="K28" i="57"/>
  <c r="J28" i="57"/>
  <c r="I28" i="57"/>
  <c r="H28" i="57"/>
  <c r="G28" i="57"/>
  <c r="F28" i="57"/>
  <c r="C28" i="57"/>
  <c r="O27" i="57"/>
  <c r="N27" i="57"/>
  <c r="M27" i="57"/>
  <c r="L27" i="57"/>
  <c r="K27" i="57"/>
  <c r="J27" i="57"/>
  <c r="I27" i="57"/>
  <c r="H27" i="57"/>
  <c r="G27" i="57"/>
  <c r="F27" i="57"/>
  <c r="C27" i="57"/>
  <c r="O26" i="57"/>
  <c r="N26" i="57"/>
  <c r="M26" i="57"/>
  <c r="L26" i="57"/>
  <c r="K26" i="57"/>
  <c r="J26" i="57"/>
  <c r="I26" i="57"/>
  <c r="H26" i="57"/>
  <c r="G26" i="57"/>
  <c r="F26" i="57"/>
  <c r="C26" i="57"/>
  <c r="O25" i="57"/>
  <c r="N25" i="57"/>
  <c r="M25" i="57"/>
  <c r="L25" i="57"/>
  <c r="K25" i="57"/>
  <c r="J25" i="57"/>
  <c r="I25" i="57"/>
  <c r="H25" i="57"/>
  <c r="G25" i="57"/>
  <c r="F25" i="57"/>
  <c r="C25" i="57"/>
  <c r="O24" i="57"/>
  <c r="N24" i="57"/>
  <c r="M24" i="57"/>
  <c r="L24" i="57"/>
  <c r="K24" i="57"/>
  <c r="J24" i="57"/>
  <c r="I24" i="57"/>
  <c r="H24" i="57"/>
  <c r="G24" i="57"/>
  <c r="F24" i="57"/>
  <c r="C24" i="57"/>
  <c r="O23" i="57"/>
  <c r="N23" i="57"/>
  <c r="M23" i="57"/>
  <c r="L23" i="57"/>
  <c r="K23" i="57"/>
  <c r="J23" i="57"/>
  <c r="I23" i="57"/>
  <c r="H23" i="57"/>
  <c r="G23" i="57"/>
  <c r="F23" i="57"/>
  <c r="C23" i="57"/>
  <c r="O22" i="57"/>
  <c r="N22" i="57"/>
  <c r="M22" i="57"/>
  <c r="L22" i="57"/>
  <c r="K22" i="57"/>
  <c r="J22" i="57"/>
  <c r="I22" i="57"/>
  <c r="H22" i="57"/>
  <c r="G22" i="57"/>
  <c r="F22" i="57"/>
  <c r="C22" i="57"/>
  <c r="O21" i="57"/>
  <c r="N21" i="57"/>
  <c r="M21" i="57"/>
  <c r="L21" i="57"/>
  <c r="K21" i="57"/>
  <c r="J21" i="57"/>
  <c r="I21" i="57"/>
  <c r="H21" i="57"/>
  <c r="G21" i="57"/>
  <c r="F21" i="57"/>
  <c r="C21" i="57"/>
  <c r="O20" i="57"/>
  <c r="N20" i="57"/>
  <c r="M20" i="57"/>
  <c r="L20" i="57"/>
  <c r="K20" i="57"/>
  <c r="J20" i="57"/>
  <c r="I20" i="57"/>
  <c r="H20" i="57"/>
  <c r="G20" i="57"/>
  <c r="F20" i="57"/>
  <c r="C20" i="57"/>
  <c r="O19" i="57"/>
  <c r="N19" i="57"/>
  <c r="M19" i="57"/>
  <c r="L19" i="57"/>
  <c r="K19" i="57"/>
  <c r="J19" i="57"/>
  <c r="I19" i="57"/>
  <c r="H19" i="57"/>
  <c r="G19" i="57"/>
  <c r="F19" i="57"/>
  <c r="C19" i="57"/>
  <c r="O18" i="57"/>
  <c r="N18" i="57"/>
  <c r="M18" i="57"/>
  <c r="L18" i="57"/>
  <c r="K18" i="57"/>
  <c r="J18" i="57"/>
  <c r="I18" i="57"/>
  <c r="H18" i="57"/>
  <c r="G18" i="57"/>
  <c r="F18" i="57"/>
  <c r="C18" i="57"/>
  <c r="O17" i="57"/>
  <c r="N17" i="57"/>
  <c r="M17" i="57"/>
  <c r="L17" i="57"/>
  <c r="K17" i="57"/>
  <c r="J17" i="57"/>
  <c r="I17" i="57"/>
  <c r="H17" i="57"/>
  <c r="G17" i="57"/>
  <c r="F17" i="57"/>
  <c r="C17" i="57"/>
  <c r="O16" i="57"/>
  <c r="N16" i="57"/>
  <c r="M16" i="57"/>
  <c r="L16" i="57"/>
  <c r="K16" i="57"/>
  <c r="J16" i="57"/>
  <c r="I16" i="57"/>
  <c r="H16" i="57"/>
  <c r="G16" i="57"/>
  <c r="F16" i="57"/>
  <c r="C16" i="57"/>
  <c r="BQ44" i="56"/>
  <c r="AI44" i="56"/>
  <c r="B44" i="56"/>
  <c r="BQ43" i="56"/>
  <c r="AI43" i="56"/>
  <c r="B43" i="56"/>
  <c r="BQ42" i="56"/>
  <c r="AI42" i="56"/>
  <c r="B42" i="56"/>
  <c r="CU41" i="56"/>
  <c r="BQ41" i="56"/>
  <c r="BM41" i="56"/>
  <c r="AI41" i="56"/>
  <c r="AE41" i="56"/>
  <c r="B41" i="56"/>
  <c r="CU40" i="56"/>
  <c r="BQ40" i="56"/>
  <c r="BM40" i="56"/>
  <c r="AI40" i="56"/>
  <c r="AE40" i="56"/>
  <c r="B40" i="56"/>
  <c r="CU39" i="56"/>
  <c r="BQ39" i="56"/>
  <c r="BM39" i="56"/>
  <c r="AI39" i="56"/>
  <c r="AE39" i="56"/>
  <c r="B39" i="56"/>
  <c r="CU38" i="56"/>
  <c r="BQ38" i="56"/>
  <c r="BM38" i="56"/>
  <c r="AI38" i="56"/>
  <c r="AE38" i="56"/>
  <c r="AA38" i="56"/>
  <c r="B38" i="56"/>
  <c r="CU37" i="56"/>
  <c r="BQ37" i="56"/>
  <c r="BM37" i="56"/>
  <c r="AI37" i="56"/>
  <c r="AE37" i="56"/>
  <c r="AA37" i="56"/>
  <c r="B37" i="56"/>
  <c r="CU36" i="56"/>
  <c r="BQ36" i="56"/>
  <c r="BM36" i="56"/>
  <c r="AI36" i="56"/>
  <c r="AE36" i="56"/>
  <c r="AA36" i="56"/>
  <c r="B36" i="56"/>
  <c r="CU35" i="56"/>
  <c r="BQ35" i="56"/>
  <c r="BM35" i="56"/>
  <c r="AI35" i="56"/>
  <c r="AE35" i="56"/>
  <c r="AA35" i="56"/>
  <c r="B35" i="56"/>
  <c r="CU34" i="56"/>
  <c r="BQ34" i="56"/>
  <c r="BM34" i="56"/>
  <c r="AI34" i="56"/>
  <c r="AE34" i="56"/>
  <c r="AA34" i="56"/>
  <c r="B34" i="56"/>
  <c r="CU33" i="56"/>
  <c r="BQ33" i="56"/>
  <c r="BM33" i="56"/>
  <c r="AI33" i="56"/>
  <c r="AE33" i="56"/>
  <c r="AA33" i="56"/>
  <c r="B33" i="56"/>
  <c r="CU32" i="56"/>
  <c r="BQ32" i="56"/>
  <c r="BM32" i="56"/>
  <c r="AI32" i="56"/>
  <c r="AE32" i="56"/>
  <c r="AA32" i="56"/>
  <c r="B32" i="56"/>
  <c r="CU31" i="56"/>
  <c r="BQ31" i="56"/>
  <c r="BM31" i="56"/>
  <c r="AI31" i="56"/>
  <c r="AE31" i="56"/>
  <c r="AA31" i="56"/>
  <c r="B31" i="56"/>
  <c r="CU30" i="56"/>
  <c r="BQ30" i="56"/>
  <c r="BM30" i="56"/>
  <c r="AI30" i="56"/>
  <c r="AE30" i="56"/>
  <c r="AA30" i="56"/>
  <c r="B30" i="56"/>
  <c r="CU29" i="56"/>
  <c r="BQ29" i="56"/>
  <c r="BM29" i="56"/>
  <c r="AI29" i="56"/>
  <c r="AE29" i="56"/>
  <c r="AA29" i="56"/>
  <c r="B29" i="56"/>
  <c r="CU28" i="56"/>
  <c r="BQ28" i="56"/>
  <c r="BM28" i="56"/>
  <c r="AI28" i="56"/>
  <c r="AE28" i="56"/>
  <c r="AA28" i="56"/>
  <c r="B28" i="56"/>
  <c r="CU27" i="56"/>
  <c r="BQ27" i="56"/>
  <c r="BM27" i="56"/>
  <c r="AI27" i="56"/>
  <c r="AE27" i="56"/>
  <c r="AA27" i="56"/>
  <c r="B27" i="56"/>
  <c r="CU26" i="56"/>
  <c r="BQ26" i="56"/>
  <c r="BM26" i="56"/>
  <c r="AI26" i="56"/>
  <c r="AE26" i="56"/>
  <c r="AA26" i="56"/>
  <c r="B26" i="56"/>
  <c r="CU25" i="56"/>
  <c r="BQ25" i="56"/>
  <c r="BM25" i="56"/>
  <c r="AI25" i="56"/>
  <c r="AE25" i="56"/>
  <c r="AA25" i="56"/>
  <c r="B25" i="56"/>
  <c r="CU24" i="56"/>
  <c r="BQ24" i="56"/>
  <c r="BM24" i="56"/>
  <c r="AI24" i="56"/>
  <c r="AE24" i="56"/>
  <c r="AA24" i="56"/>
  <c r="B24" i="56"/>
  <c r="CU23" i="56"/>
  <c r="BQ23" i="56"/>
  <c r="BM23" i="56"/>
  <c r="AI23" i="56"/>
  <c r="AE23" i="56"/>
  <c r="AA23" i="56"/>
  <c r="B23" i="56"/>
  <c r="CU22" i="56"/>
  <c r="BQ22" i="56"/>
  <c r="BM22" i="56"/>
  <c r="AI22" i="56"/>
  <c r="AE22" i="56"/>
  <c r="AA22" i="56"/>
  <c r="B22" i="56"/>
  <c r="CU21" i="56"/>
  <c r="BQ21" i="56"/>
  <c r="BM21" i="56"/>
  <c r="AI21" i="56"/>
  <c r="AE21" i="56"/>
  <c r="AA21" i="56"/>
  <c r="B21" i="56"/>
  <c r="CU20" i="56"/>
  <c r="BQ20" i="56"/>
  <c r="BM20" i="56"/>
  <c r="AI20" i="56"/>
  <c r="AE20" i="56"/>
  <c r="AA20" i="56"/>
  <c r="B20" i="56"/>
  <c r="CU19" i="56"/>
  <c r="BQ19" i="56"/>
  <c r="BM19" i="56"/>
  <c r="AI19" i="56"/>
  <c r="AE19" i="56"/>
  <c r="AA19" i="56"/>
  <c r="B19" i="56"/>
  <c r="CU18" i="56"/>
  <c r="BQ18" i="56"/>
  <c r="BM18" i="56"/>
  <c r="AI18" i="56"/>
  <c r="AE18" i="56"/>
  <c r="AA18" i="56"/>
  <c r="B18" i="56"/>
  <c r="CU17" i="56"/>
  <c r="BQ17" i="56"/>
  <c r="BM17" i="56"/>
  <c r="AI17" i="56"/>
  <c r="AE17" i="56"/>
  <c r="AA17" i="56"/>
  <c r="B17" i="56"/>
  <c r="CU16" i="56"/>
  <c r="BQ16" i="56"/>
  <c r="BM16" i="56"/>
  <c r="AI16" i="56"/>
  <c r="AE16" i="56"/>
  <c r="AA16" i="56"/>
  <c r="B16" i="56"/>
  <c r="CU15" i="56"/>
  <c r="BQ15" i="56"/>
  <c r="BM15" i="56"/>
  <c r="AI15" i="56"/>
  <c r="AE15" i="56"/>
  <c r="AA15" i="56"/>
  <c r="B15" i="56"/>
  <c r="CU14" i="56"/>
  <c r="BQ14" i="56"/>
  <c r="BM14" i="56"/>
  <c r="AI14" i="56"/>
  <c r="AE14" i="56"/>
  <c r="AA14" i="56"/>
  <c r="B14" i="56"/>
  <c r="CU13" i="56"/>
  <c r="BQ13" i="56"/>
  <c r="BM13" i="56"/>
  <c r="AI13" i="56"/>
  <c r="AE13" i="56"/>
  <c r="AA13" i="56"/>
  <c r="B13" i="56"/>
  <c r="CU12" i="56"/>
  <c r="BQ12" i="56"/>
  <c r="BM12" i="56"/>
  <c r="AI12" i="56"/>
  <c r="AE12" i="56"/>
  <c r="AA12" i="56"/>
  <c r="B12" i="56"/>
  <c r="CU11" i="56"/>
  <c r="BQ11" i="56"/>
  <c r="BM11" i="56"/>
  <c r="AI11" i="56"/>
  <c r="AE11" i="56"/>
  <c r="AA11" i="56"/>
  <c r="B11" i="56"/>
  <c r="CU10" i="56"/>
  <c r="BQ10" i="56"/>
  <c r="BM10" i="56"/>
  <c r="AI10" i="56"/>
  <c r="AE10" i="56"/>
  <c r="AA10" i="56"/>
  <c r="B10" i="56"/>
  <c r="CU9" i="56"/>
  <c r="BQ9" i="56"/>
  <c r="BM9" i="56"/>
  <c r="AI9" i="56"/>
  <c r="AE9" i="56"/>
  <c r="AA9" i="56"/>
  <c r="B9" i="56"/>
  <c r="CU8" i="56"/>
  <c r="BQ8" i="56"/>
  <c r="BM8" i="56"/>
  <c r="AI8" i="56"/>
  <c r="AE8" i="56"/>
  <c r="AA8" i="56"/>
  <c r="B8" i="56"/>
  <c r="CU7" i="56"/>
  <c r="BQ7" i="56"/>
  <c r="BM7" i="56"/>
  <c r="AI7" i="56"/>
  <c r="AE7" i="56"/>
  <c r="AA7" i="56"/>
  <c r="B7" i="56"/>
  <c r="CU6" i="56"/>
  <c r="BQ6" i="56"/>
  <c r="BM6" i="56"/>
  <c r="AI6" i="56"/>
  <c r="AE6" i="56"/>
  <c r="AA6" i="56"/>
  <c r="B6" i="56"/>
  <c r="CU5" i="56"/>
  <c r="BQ5" i="56"/>
  <c r="BM5" i="56"/>
  <c r="AI5" i="56"/>
  <c r="AE5" i="56"/>
  <c r="AA5" i="56"/>
  <c r="B5" i="56"/>
  <c r="O55" i="55"/>
  <c r="N55" i="55"/>
  <c r="M55" i="55"/>
  <c r="L55" i="55"/>
  <c r="K55" i="55"/>
  <c r="J55" i="55"/>
  <c r="P55" i="55" s="1"/>
  <c r="I55" i="55"/>
  <c r="H55" i="55"/>
  <c r="G55" i="55"/>
  <c r="F55" i="55"/>
  <c r="C55" i="55"/>
  <c r="O54" i="55"/>
  <c r="N54" i="55"/>
  <c r="M54" i="55"/>
  <c r="L54" i="55"/>
  <c r="K54" i="55"/>
  <c r="Q54" i="55" s="1"/>
  <c r="J54" i="55"/>
  <c r="P54" i="55" s="1"/>
  <c r="I54" i="55"/>
  <c r="H54" i="55"/>
  <c r="G54" i="55"/>
  <c r="F54" i="55"/>
  <c r="C54" i="55"/>
  <c r="O53" i="55"/>
  <c r="N53" i="55"/>
  <c r="M53" i="55"/>
  <c r="L53" i="55"/>
  <c r="K53" i="55"/>
  <c r="Q53" i="55" s="1"/>
  <c r="J53" i="55"/>
  <c r="P53" i="55" s="1"/>
  <c r="I53" i="55"/>
  <c r="H53" i="55"/>
  <c r="G53" i="55"/>
  <c r="F53" i="55"/>
  <c r="C53" i="55"/>
  <c r="O52" i="55"/>
  <c r="N52" i="55"/>
  <c r="M52" i="55"/>
  <c r="L52" i="55"/>
  <c r="K52" i="55"/>
  <c r="J52" i="55"/>
  <c r="I52" i="55"/>
  <c r="H52" i="55"/>
  <c r="G52" i="55"/>
  <c r="F52" i="55"/>
  <c r="C52" i="55"/>
  <c r="O51" i="55"/>
  <c r="N51" i="55"/>
  <c r="M51" i="55"/>
  <c r="L51" i="55"/>
  <c r="K51" i="55"/>
  <c r="J51" i="55"/>
  <c r="I51" i="55"/>
  <c r="H51" i="55"/>
  <c r="G51" i="55"/>
  <c r="F51" i="55"/>
  <c r="C51" i="55"/>
  <c r="O50" i="55"/>
  <c r="N50" i="55"/>
  <c r="M50" i="55"/>
  <c r="L50" i="55"/>
  <c r="K50" i="55"/>
  <c r="J50" i="55"/>
  <c r="I50" i="55"/>
  <c r="H50" i="55"/>
  <c r="G50" i="55"/>
  <c r="F50" i="55"/>
  <c r="C50" i="55"/>
  <c r="O49" i="55"/>
  <c r="N49" i="55"/>
  <c r="M49" i="55"/>
  <c r="L49" i="55"/>
  <c r="K49" i="55"/>
  <c r="J49" i="55"/>
  <c r="I49" i="55"/>
  <c r="H49" i="55"/>
  <c r="G49" i="55"/>
  <c r="F49" i="55"/>
  <c r="C49" i="55"/>
  <c r="O48" i="55"/>
  <c r="N48" i="55"/>
  <c r="M48" i="55"/>
  <c r="L48" i="55"/>
  <c r="K48" i="55"/>
  <c r="J48" i="55"/>
  <c r="I48" i="55"/>
  <c r="H48" i="55"/>
  <c r="G48" i="55"/>
  <c r="F48" i="55"/>
  <c r="C48" i="55"/>
  <c r="O47" i="55"/>
  <c r="N47" i="55"/>
  <c r="M47" i="55"/>
  <c r="L47" i="55"/>
  <c r="K47" i="55"/>
  <c r="J47" i="55"/>
  <c r="I47" i="55"/>
  <c r="H47" i="55"/>
  <c r="G47" i="55"/>
  <c r="F47" i="55"/>
  <c r="C47" i="55"/>
  <c r="O46" i="55"/>
  <c r="N46" i="55"/>
  <c r="M46" i="55"/>
  <c r="L46" i="55"/>
  <c r="K46" i="55"/>
  <c r="J46" i="55"/>
  <c r="I46" i="55"/>
  <c r="H46" i="55"/>
  <c r="G46" i="55"/>
  <c r="F46" i="55"/>
  <c r="C46" i="55"/>
  <c r="O45" i="55"/>
  <c r="N45" i="55"/>
  <c r="M45" i="55"/>
  <c r="L45" i="55"/>
  <c r="K45" i="55"/>
  <c r="J45" i="55"/>
  <c r="I45" i="55"/>
  <c r="H45" i="55"/>
  <c r="G45" i="55"/>
  <c r="F45" i="55"/>
  <c r="C45" i="55"/>
  <c r="O44" i="55"/>
  <c r="N44" i="55"/>
  <c r="M44" i="55"/>
  <c r="L44" i="55"/>
  <c r="K44" i="55"/>
  <c r="J44" i="55"/>
  <c r="I44" i="55"/>
  <c r="H44" i="55"/>
  <c r="G44" i="55"/>
  <c r="F44" i="55"/>
  <c r="C44" i="55"/>
  <c r="O43" i="55"/>
  <c r="N43" i="55"/>
  <c r="M43" i="55"/>
  <c r="L43" i="55"/>
  <c r="K43" i="55"/>
  <c r="Q43" i="55" s="1"/>
  <c r="J43" i="55"/>
  <c r="I43" i="55"/>
  <c r="H43" i="55"/>
  <c r="G43" i="55"/>
  <c r="F43" i="55"/>
  <c r="C43" i="55"/>
  <c r="O42" i="55"/>
  <c r="N42" i="55"/>
  <c r="M42" i="55"/>
  <c r="L42" i="55"/>
  <c r="K42" i="55"/>
  <c r="J42" i="55"/>
  <c r="I42" i="55"/>
  <c r="H42" i="55"/>
  <c r="G42" i="55"/>
  <c r="F42" i="55"/>
  <c r="C42" i="55"/>
  <c r="O41" i="55"/>
  <c r="N41" i="55"/>
  <c r="M41" i="55"/>
  <c r="L41" i="55"/>
  <c r="K41" i="55"/>
  <c r="J41" i="55"/>
  <c r="I41" i="55"/>
  <c r="H41" i="55"/>
  <c r="G41" i="55"/>
  <c r="F41" i="55"/>
  <c r="C41" i="55"/>
  <c r="O40" i="55"/>
  <c r="N40" i="55"/>
  <c r="M40" i="55"/>
  <c r="L40" i="55"/>
  <c r="K40" i="55"/>
  <c r="J40" i="55"/>
  <c r="I40" i="55"/>
  <c r="H40" i="55"/>
  <c r="G40" i="55"/>
  <c r="F40" i="55"/>
  <c r="C40" i="55"/>
  <c r="O39" i="55"/>
  <c r="N39" i="55"/>
  <c r="M39" i="55"/>
  <c r="L39" i="55"/>
  <c r="K39" i="55"/>
  <c r="J39" i="55"/>
  <c r="I39" i="55"/>
  <c r="H39" i="55"/>
  <c r="G39" i="55"/>
  <c r="F39" i="55"/>
  <c r="C39" i="55"/>
  <c r="O38" i="55"/>
  <c r="N38" i="55"/>
  <c r="M38" i="55"/>
  <c r="L38" i="55"/>
  <c r="K38" i="55"/>
  <c r="J38" i="55"/>
  <c r="I38" i="55"/>
  <c r="H38" i="55"/>
  <c r="G38" i="55"/>
  <c r="F38" i="55"/>
  <c r="C38" i="55"/>
  <c r="O37" i="55"/>
  <c r="N37" i="55"/>
  <c r="M37" i="55"/>
  <c r="L37" i="55"/>
  <c r="K37" i="55"/>
  <c r="J37" i="55"/>
  <c r="I37" i="55"/>
  <c r="H37" i="55"/>
  <c r="G37" i="55"/>
  <c r="F37" i="55"/>
  <c r="C37" i="55"/>
  <c r="O36" i="55"/>
  <c r="N36" i="55"/>
  <c r="M36" i="55"/>
  <c r="L36" i="55"/>
  <c r="K36" i="55"/>
  <c r="J36" i="55"/>
  <c r="I36" i="55"/>
  <c r="H36" i="55"/>
  <c r="G36" i="55"/>
  <c r="F36" i="55"/>
  <c r="C36" i="55"/>
  <c r="O35" i="55"/>
  <c r="N35" i="55"/>
  <c r="M35" i="55"/>
  <c r="L35" i="55"/>
  <c r="K35" i="55"/>
  <c r="Q35" i="55" s="1"/>
  <c r="J35" i="55"/>
  <c r="I35" i="55"/>
  <c r="H35" i="55"/>
  <c r="G35" i="55"/>
  <c r="F35" i="55"/>
  <c r="C35" i="55"/>
  <c r="O34" i="55"/>
  <c r="N34" i="55"/>
  <c r="M34" i="55"/>
  <c r="L34" i="55"/>
  <c r="K34" i="55"/>
  <c r="J34" i="55"/>
  <c r="I34" i="55"/>
  <c r="H34" i="55"/>
  <c r="G34" i="55"/>
  <c r="F34" i="55"/>
  <c r="C34" i="55"/>
  <c r="O33" i="55"/>
  <c r="N33" i="55"/>
  <c r="M33" i="55"/>
  <c r="L33" i="55"/>
  <c r="K33" i="55"/>
  <c r="J33" i="55"/>
  <c r="I33" i="55"/>
  <c r="H33" i="55"/>
  <c r="G33" i="55"/>
  <c r="F33" i="55"/>
  <c r="C33" i="55"/>
  <c r="O32" i="55"/>
  <c r="N32" i="55"/>
  <c r="M32" i="55"/>
  <c r="L32" i="55"/>
  <c r="K32" i="55"/>
  <c r="J32" i="55"/>
  <c r="I32" i="55"/>
  <c r="H32" i="55"/>
  <c r="G32" i="55"/>
  <c r="F32" i="55"/>
  <c r="C32" i="55"/>
  <c r="O31" i="55"/>
  <c r="N31" i="55"/>
  <c r="M31" i="55"/>
  <c r="L31" i="55"/>
  <c r="K31" i="55"/>
  <c r="J31" i="55"/>
  <c r="I31" i="55"/>
  <c r="H31" i="55"/>
  <c r="G31" i="55"/>
  <c r="F31" i="55"/>
  <c r="C31" i="55"/>
  <c r="O30" i="55"/>
  <c r="N30" i="55"/>
  <c r="M30" i="55"/>
  <c r="L30" i="55"/>
  <c r="K30" i="55"/>
  <c r="Q30" i="55" s="1"/>
  <c r="J30" i="55"/>
  <c r="I30" i="55"/>
  <c r="H30" i="55"/>
  <c r="G30" i="55"/>
  <c r="F30" i="55"/>
  <c r="C30" i="55"/>
  <c r="O29" i="55"/>
  <c r="N29" i="55"/>
  <c r="M29" i="55"/>
  <c r="L29" i="55"/>
  <c r="K29" i="55"/>
  <c r="J29" i="55"/>
  <c r="I29" i="55"/>
  <c r="H29" i="55"/>
  <c r="G29" i="55"/>
  <c r="F29" i="55"/>
  <c r="C29" i="55"/>
  <c r="O28" i="55"/>
  <c r="N28" i="55"/>
  <c r="M28" i="55"/>
  <c r="L28" i="55"/>
  <c r="K28" i="55"/>
  <c r="J28" i="55"/>
  <c r="I28" i="55"/>
  <c r="H28" i="55"/>
  <c r="G28" i="55"/>
  <c r="F28" i="55"/>
  <c r="C28" i="55"/>
  <c r="O27" i="55"/>
  <c r="N27" i="55"/>
  <c r="M27" i="55"/>
  <c r="L27" i="55"/>
  <c r="K27" i="55"/>
  <c r="Q27" i="55" s="1"/>
  <c r="J27" i="55"/>
  <c r="I27" i="55"/>
  <c r="H27" i="55"/>
  <c r="G27" i="55"/>
  <c r="F27" i="55"/>
  <c r="C27" i="55"/>
  <c r="O26" i="55"/>
  <c r="N26" i="55"/>
  <c r="M26" i="55"/>
  <c r="L26" i="55"/>
  <c r="K26" i="55"/>
  <c r="J26" i="55"/>
  <c r="I26" i="55"/>
  <c r="H26" i="55"/>
  <c r="G26" i="55"/>
  <c r="F26" i="55"/>
  <c r="C26" i="55"/>
  <c r="O25" i="55"/>
  <c r="N25" i="55"/>
  <c r="M25" i="55"/>
  <c r="L25" i="55"/>
  <c r="K25" i="55"/>
  <c r="J25" i="55"/>
  <c r="P25" i="55" s="1"/>
  <c r="I25" i="55"/>
  <c r="H25" i="55"/>
  <c r="G25" i="55"/>
  <c r="F25" i="55"/>
  <c r="C25" i="55"/>
  <c r="O24" i="55"/>
  <c r="N24" i="55"/>
  <c r="M24" i="55"/>
  <c r="L24" i="55"/>
  <c r="P24" i="55" s="1"/>
  <c r="K24" i="55"/>
  <c r="J24" i="55"/>
  <c r="I24" i="55"/>
  <c r="H24" i="55"/>
  <c r="G24" i="55"/>
  <c r="F24" i="55"/>
  <c r="C24" i="55"/>
  <c r="O23" i="55"/>
  <c r="N23" i="55"/>
  <c r="M23" i="55"/>
  <c r="L23" i="55"/>
  <c r="K23" i="55"/>
  <c r="J23" i="55"/>
  <c r="I23" i="55"/>
  <c r="H23" i="55"/>
  <c r="G23" i="55"/>
  <c r="F23" i="55"/>
  <c r="C23" i="55"/>
  <c r="O22" i="55"/>
  <c r="N22" i="55"/>
  <c r="M22" i="55"/>
  <c r="L22" i="55"/>
  <c r="K22" i="55"/>
  <c r="Q22" i="55" s="1"/>
  <c r="J22" i="55"/>
  <c r="I22" i="55"/>
  <c r="H22" i="55"/>
  <c r="G22" i="55"/>
  <c r="F22" i="55"/>
  <c r="C22" i="55"/>
  <c r="O21" i="55"/>
  <c r="N21" i="55"/>
  <c r="P21" i="55" s="1"/>
  <c r="M21" i="55"/>
  <c r="L21" i="55"/>
  <c r="K21" i="55"/>
  <c r="J21" i="55"/>
  <c r="I21" i="55"/>
  <c r="H21" i="55"/>
  <c r="G21" i="55"/>
  <c r="F21" i="55"/>
  <c r="C21" i="55"/>
  <c r="O20" i="55"/>
  <c r="N20" i="55"/>
  <c r="M20" i="55"/>
  <c r="L20" i="55"/>
  <c r="K20" i="55"/>
  <c r="Q20" i="55" s="1"/>
  <c r="J20" i="55"/>
  <c r="I20" i="55"/>
  <c r="H20" i="55"/>
  <c r="G20" i="55"/>
  <c r="F20" i="55"/>
  <c r="C20" i="55"/>
  <c r="O19" i="55"/>
  <c r="N19" i="55"/>
  <c r="M19" i="55"/>
  <c r="L19" i="55"/>
  <c r="K19" i="55"/>
  <c r="Q19" i="55" s="1"/>
  <c r="J19" i="55"/>
  <c r="I19" i="55"/>
  <c r="H19" i="55"/>
  <c r="G19" i="55"/>
  <c r="F19" i="55"/>
  <c r="C19" i="55"/>
  <c r="O18" i="55"/>
  <c r="N18" i="55"/>
  <c r="M18" i="55"/>
  <c r="L18" i="55"/>
  <c r="K18" i="55"/>
  <c r="J18" i="55"/>
  <c r="I18" i="55"/>
  <c r="H18" i="55"/>
  <c r="G18" i="55"/>
  <c r="F18" i="55"/>
  <c r="C18" i="55"/>
  <c r="O17" i="55"/>
  <c r="N17" i="55"/>
  <c r="M17" i="55"/>
  <c r="L17" i="55"/>
  <c r="K17" i="55"/>
  <c r="J17" i="55"/>
  <c r="P17" i="55" s="1"/>
  <c r="I17" i="55"/>
  <c r="H17" i="55"/>
  <c r="G17" i="55"/>
  <c r="F17" i="55"/>
  <c r="C17" i="55"/>
  <c r="O16" i="55"/>
  <c r="N16" i="55"/>
  <c r="M16" i="55"/>
  <c r="L16" i="55"/>
  <c r="K16" i="55"/>
  <c r="J16" i="55"/>
  <c r="I16" i="55"/>
  <c r="H16" i="55"/>
  <c r="G16" i="55"/>
  <c r="F16" i="55"/>
  <c r="C16" i="55"/>
  <c r="BQ44" i="54"/>
  <c r="AI44" i="54"/>
  <c r="B44" i="54"/>
  <c r="BQ43" i="54"/>
  <c r="AI43" i="54"/>
  <c r="B43" i="54"/>
  <c r="BQ42" i="54"/>
  <c r="AI42" i="54"/>
  <c r="B42" i="54"/>
  <c r="CU41" i="54"/>
  <c r="BQ41" i="54"/>
  <c r="BM41" i="54"/>
  <c r="AI41" i="54"/>
  <c r="AE41" i="54"/>
  <c r="B41" i="54"/>
  <c r="CU40" i="54"/>
  <c r="BQ40" i="54"/>
  <c r="BM40" i="54"/>
  <c r="AI40" i="54"/>
  <c r="AE40" i="54"/>
  <c r="B40" i="54"/>
  <c r="CU39" i="54"/>
  <c r="BQ39" i="54"/>
  <c r="BM39" i="54"/>
  <c r="AI39" i="54"/>
  <c r="AE39" i="54"/>
  <c r="B39" i="54"/>
  <c r="CU38" i="54"/>
  <c r="BQ38" i="54"/>
  <c r="BM38" i="54"/>
  <c r="AI38" i="54"/>
  <c r="AE38" i="54"/>
  <c r="AA38" i="54"/>
  <c r="B38" i="54"/>
  <c r="CU37" i="54"/>
  <c r="BQ37" i="54"/>
  <c r="BM37" i="54"/>
  <c r="AI37" i="54"/>
  <c r="AE37" i="54"/>
  <c r="AA37" i="54"/>
  <c r="B37" i="54"/>
  <c r="CU36" i="54"/>
  <c r="BQ36" i="54"/>
  <c r="BM36" i="54"/>
  <c r="AI36" i="54"/>
  <c r="AE36" i="54"/>
  <c r="AA36" i="54"/>
  <c r="B36" i="54"/>
  <c r="CU35" i="54"/>
  <c r="BQ35" i="54"/>
  <c r="BM35" i="54"/>
  <c r="AI35" i="54"/>
  <c r="AE35" i="54"/>
  <c r="AA35" i="54"/>
  <c r="B35" i="54"/>
  <c r="CU34" i="54"/>
  <c r="BQ34" i="54"/>
  <c r="BM34" i="54"/>
  <c r="AI34" i="54"/>
  <c r="AE34" i="54"/>
  <c r="AA34" i="54"/>
  <c r="B34" i="54"/>
  <c r="CU33" i="54"/>
  <c r="BQ33" i="54"/>
  <c r="BM33" i="54"/>
  <c r="AI33" i="54"/>
  <c r="AE33" i="54"/>
  <c r="AA33" i="54"/>
  <c r="B33" i="54"/>
  <c r="CU32" i="54"/>
  <c r="BQ32" i="54"/>
  <c r="BM32" i="54"/>
  <c r="AI32" i="54"/>
  <c r="AE32" i="54"/>
  <c r="AA32" i="54"/>
  <c r="B32" i="54"/>
  <c r="CU31" i="54"/>
  <c r="BQ31" i="54"/>
  <c r="BM31" i="54"/>
  <c r="AI31" i="54"/>
  <c r="AE31" i="54"/>
  <c r="AA31" i="54"/>
  <c r="B31" i="54"/>
  <c r="CU30" i="54"/>
  <c r="BQ30" i="54"/>
  <c r="BM30" i="54"/>
  <c r="AI30" i="54"/>
  <c r="AE30" i="54"/>
  <c r="AA30" i="54"/>
  <c r="B30" i="54"/>
  <c r="CU29" i="54"/>
  <c r="BQ29" i="54"/>
  <c r="BM29" i="54"/>
  <c r="AI29" i="54"/>
  <c r="AE29" i="54"/>
  <c r="AA29" i="54"/>
  <c r="B29" i="54"/>
  <c r="CU28" i="54"/>
  <c r="BQ28" i="54"/>
  <c r="BM28" i="54"/>
  <c r="AI28" i="54"/>
  <c r="AE28" i="54"/>
  <c r="AA28" i="54"/>
  <c r="B28" i="54"/>
  <c r="CU27" i="54"/>
  <c r="BQ27" i="54"/>
  <c r="BM27" i="54"/>
  <c r="AI27" i="54"/>
  <c r="AE27" i="54"/>
  <c r="AA27" i="54"/>
  <c r="B27" i="54"/>
  <c r="CU26" i="54"/>
  <c r="BQ26" i="54"/>
  <c r="BM26" i="54"/>
  <c r="AI26" i="54"/>
  <c r="AE26" i="54"/>
  <c r="AA26" i="54"/>
  <c r="B26" i="54"/>
  <c r="CU25" i="54"/>
  <c r="BQ25" i="54"/>
  <c r="BM25" i="54"/>
  <c r="AI25" i="54"/>
  <c r="AE25" i="54"/>
  <c r="AA25" i="54"/>
  <c r="B25" i="54"/>
  <c r="CU24" i="54"/>
  <c r="BQ24" i="54"/>
  <c r="BM24" i="54"/>
  <c r="AI24" i="54"/>
  <c r="AE24" i="54"/>
  <c r="AA24" i="54"/>
  <c r="B24" i="54"/>
  <c r="CU23" i="54"/>
  <c r="BQ23" i="54"/>
  <c r="BM23" i="54"/>
  <c r="AI23" i="54"/>
  <c r="AE23" i="54"/>
  <c r="AA23" i="54"/>
  <c r="B23" i="54"/>
  <c r="CU22" i="54"/>
  <c r="BQ22" i="54"/>
  <c r="BM22" i="54"/>
  <c r="AI22" i="54"/>
  <c r="AE22" i="54"/>
  <c r="AA22" i="54"/>
  <c r="B22" i="54"/>
  <c r="CU21" i="54"/>
  <c r="BQ21" i="54"/>
  <c r="BM21" i="54"/>
  <c r="AI21" i="54"/>
  <c r="AE21" i="54"/>
  <c r="AA21" i="54"/>
  <c r="B21" i="54"/>
  <c r="CU20" i="54"/>
  <c r="BQ20" i="54"/>
  <c r="BM20" i="54"/>
  <c r="AI20" i="54"/>
  <c r="AE20" i="54"/>
  <c r="AA20" i="54"/>
  <c r="B20" i="54"/>
  <c r="CU19" i="54"/>
  <c r="BQ19" i="54"/>
  <c r="BM19" i="54"/>
  <c r="AI19" i="54"/>
  <c r="AE19" i="54"/>
  <c r="AA19" i="54"/>
  <c r="B19" i="54"/>
  <c r="CU18" i="54"/>
  <c r="BQ18" i="54"/>
  <c r="BM18" i="54"/>
  <c r="AI18" i="54"/>
  <c r="AE18" i="54"/>
  <c r="AA18" i="54"/>
  <c r="B18" i="54"/>
  <c r="CU17" i="54"/>
  <c r="BQ17" i="54"/>
  <c r="BM17" i="54"/>
  <c r="AI17" i="54"/>
  <c r="AE17" i="54"/>
  <c r="AA17" i="54"/>
  <c r="B17" i="54"/>
  <c r="CU16" i="54"/>
  <c r="BQ16" i="54"/>
  <c r="BM16" i="54"/>
  <c r="AI16" i="54"/>
  <c r="AE16" i="54"/>
  <c r="AA16" i="54"/>
  <c r="B16" i="54"/>
  <c r="CU15" i="54"/>
  <c r="BQ15" i="54"/>
  <c r="BM15" i="54"/>
  <c r="AI15" i="54"/>
  <c r="AE15" i="54"/>
  <c r="AA15" i="54"/>
  <c r="B15" i="54"/>
  <c r="CU14" i="54"/>
  <c r="BQ14" i="54"/>
  <c r="BM14" i="54"/>
  <c r="AI14" i="54"/>
  <c r="AE14" i="54"/>
  <c r="AA14" i="54"/>
  <c r="B14" i="54"/>
  <c r="CU13" i="54"/>
  <c r="BQ13" i="54"/>
  <c r="BM13" i="54"/>
  <c r="AI13" i="54"/>
  <c r="AE13" i="54"/>
  <c r="AA13" i="54"/>
  <c r="B13" i="54"/>
  <c r="CU12" i="54"/>
  <c r="BQ12" i="54"/>
  <c r="BM12" i="54"/>
  <c r="AI12" i="54"/>
  <c r="AE12" i="54"/>
  <c r="AA12" i="54"/>
  <c r="B12" i="54"/>
  <c r="CU11" i="54"/>
  <c r="BQ11" i="54"/>
  <c r="BM11" i="54"/>
  <c r="AI11" i="54"/>
  <c r="AE11" i="54"/>
  <c r="AA11" i="54"/>
  <c r="B11" i="54"/>
  <c r="CU10" i="54"/>
  <c r="BQ10" i="54"/>
  <c r="BM10" i="54"/>
  <c r="AI10" i="54"/>
  <c r="AE10" i="54"/>
  <c r="AA10" i="54"/>
  <c r="B10" i="54"/>
  <c r="CU9" i="54"/>
  <c r="BQ9" i="54"/>
  <c r="BM9" i="54"/>
  <c r="AI9" i="54"/>
  <c r="AE9" i="54"/>
  <c r="AA9" i="54"/>
  <c r="B9" i="54"/>
  <c r="CU8" i="54"/>
  <c r="BQ8" i="54"/>
  <c r="BM8" i="54"/>
  <c r="AI8" i="54"/>
  <c r="AE8" i="54"/>
  <c r="AA8" i="54"/>
  <c r="B8" i="54"/>
  <c r="CU7" i="54"/>
  <c r="BQ7" i="54"/>
  <c r="BM7" i="54"/>
  <c r="AI7" i="54"/>
  <c r="AE7" i="54"/>
  <c r="AA7" i="54"/>
  <c r="B7" i="54"/>
  <c r="CU6" i="54"/>
  <c r="BQ6" i="54"/>
  <c r="BM6" i="54"/>
  <c r="AI6" i="54"/>
  <c r="AE6" i="54"/>
  <c r="AA6" i="54"/>
  <c r="B6" i="54"/>
  <c r="CU5" i="54"/>
  <c r="BQ5" i="54"/>
  <c r="BM5" i="54"/>
  <c r="AI5" i="54"/>
  <c r="AE5" i="54"/>
  <c r="AA5" i="54"/>
  <c r="B5" i="54"/>
  <c r="O55" i="53"/>
  <c r="N55" i="53"/>
  <c r="M55" i="53"/>
  <c r="L55" i="53"/>
  <c r="K55" i="53"/>
  <c r="J55" i="53"/>
  <c r="I55" i="53"/>
  <c r="H55" i="53"/>
  <c r="G55" i="53"/>
  <c r="F55" i="53"/>
  <c r="C55" i="53"/>
  <c r="O54" i="53"/>
  <c r="N54" i="53"/>
  <c r="M54" i="53"/>
  <c r="L54" i="53"/>
  <c r="K54" i="53"/>
  <c r="J54" i="53"/>
  <c r="I54" i="53"/>
  <c r="H54" i="53"/>
  <c r="G54" i="53"/>
  <c r="F54" i="53"/>
  <c r="C54" i="53"/>
  <c r="O53" i="53"/>
  <c r="N53" i="53"/>
  <c r="M53" i="53"/>
  <c r="L53" i="53"/>
  <c r="K53" i="53"/>
  <c r="J53" i="53"/>
  <c r="I53" i="53"/>
  <c r="H53" i="53"/>
  <c r="G53" i="53"/>
  <c r="F53" i="53"/>
  <c r="C53" i="53"/>
  <c r="O52" i="53"/>
  <c r="N52" i="53"/>
  <c r="M52" i="53"/>
  <c r="L52" i="53"/>
  <c r="K52" i="53"/>
  <c r="J52" i="53"/>
  <c r="I52" i="53"/>
  <c r="H52" i="53"/>
  <c r="G52" i="53"/>
  <c r="F52" i="53"/>
  <c r="C52" i="53"/>
  <c r="O51" i="53"/>
  <c r="N51" i="53"/>
  <c r="M51" i="53"/>
  <c r="L51" i="53"/>
  <c r="K51" i="53"/>
  <c r="J51" i="53"/>
  <c r="I51" i="53"/>
  <c r="H51" i="53"/>
  <c r="G51" i="53"/>
  <c r="F51" i="53"/>
  <c r="C51" i="53"/>
  <c r="O50" i="53"/>
  <c r="N50" i="53"/>
  <c r="M50" i="53"/>
  <c r="L50" i="53"/>
  <c r="K50" i="53"/>
  <c r="J50" i="53"/>
  <c r="I50" i="53"/>
  <c r="H50" i="53"/>
  <c r="G50" i="53"/>
  <c r="F50" i="53"/>
  <c r="C50" i="53"/>
  <c r="O49" i="53"/>
  <c r="N49" i="53"/>
  <c r="M49" i="53"/>
  <c r="L49" i="53"/>
  <c r="K49" i="53"/>
  <c r="J49" i="53"/>
  <c r="I49" i="53"/>
  <c r="H49" i="53"/>
  <c r="G49" i="53"/>
  <c r="F49" i="53"/>
  <c r="C49" i="53"/>
  <c r="O48" i="53"/>
  <c r="N48" i="53"/>
  <c r="M48" i="53"/>
  <c r="L48" i="53"/>
  <c r="K48" i="53"/>
  <c r="J48" i="53"/>
  <c r="I48" i="53"/>
  <c r="H48" i="53"/>
  <c r="G48" i="53"/>
  <c r="F48" i="53"/>
  <c r="C48" i="53"/>
  <c r="O47" i="53"/>
  <c r="N47" i="53"/>
  <c r="M47" i="53"/>
  <c r="L47" i="53"/>
  <c r="K47" i="53"/>
  <c r="J47" i="53"/>
  <c r="I47" i="53"/>
  <c r="H47" i="53"/>
  <c r="G47" i="53"/>
  <c r="F47" i="53"/>
  <c r="C47" i="53"/>
  <c r="O46" i="53"/>
  <c r="N46" i="53"/>
  <c r="M46" i="53"/>
  <c r="L46" i="53"/>
  <c r="K46" i="53"/>
  <c r="J46" i="53"/>
  <c r="I46" i="53"/>
  <c r="H46" i="53"/>
  <c r="G46" i="53"/>
  <c r="F46" i="53"/>
  <c r="C46" i="53"/>
  <c r="O45" i="53"/>
  <c r="N45" i="53"/>
  <c r="M45" i="53"/>
  <c r="L45" i="53"/>
  <c r="K45" i="53"/>
  <c r="J45" i="53"/>
  <c r="I45" i="53"/>
  <c r="H45" i="53"/>
  <c r="G45" i="53"/>
  <c r="F45" i="53"/>
  <c r="C45" i="53"/>
  <c r="O44" i="53"/>
  <c r="N44" i="53"/>
  <c r="M44" i="53"/>
  <c r="L44" i="53"/>
  <c r="K44" i="53"/>
  <c r="Q44" i="53" s="1"/>
  <c r="J44" i="53"/>
  <c r="I44" i="53"/>
  <c r="H44" i="53"/>
  <c r="G44" i="53"/>
  <c r="F44" i="53"/>
  <c r="C44" i="53"/>
  <c r="O43" i="53"/>
  <c r="N43" i="53"/>
  <c r="M43" i="53"/>
  <c r="L43" i="53"/>
  <c r="K43" i="53"/>
  <c r="J43" i="53"/>
  <c r="I43" i="53"/>
  <c r="H43" i="53"/>
  <c r="G43" i="53"/>
  <c r="F43" i="53"/>
  <c r="C43" i="53"/>
  <c r="O42" i="53"/>
  <c r="N42" i="53"/>
  <c r="M42" i="53"/>
  <c r="L42" i="53"/>
  <c r="K42" i="53"/>
  <c r="J42" i="53"/>
  <c r="I42" i="53"/>
  <c r="H42" i="53"/>
  <c r="G42" i="53"/>
  <c r="F42" i="53"/>
  <c r="C42" i="53"/>
  <c r="O41" i="53"/>
  <c r="N41" i="53"/>
  <c r="M41" i="53"/>
  <c r="L41" i="53"/>
  <c r="K41" i="53"/>
  <c r="J41" i="53"/>
  <c r="I41" i="53"/>
  <c r="H41" i="53"/>
  <c r="G41" i="53"/>
  <c r="F41" i="53"/>
  <c r="C41" i="53"/>
  <c r="O40" i="53"/>
  <c r="N40" i="53"/>
  <c r="M40" i="53"/>
  <c r="L40" i="53"/>
  <c r="K40" i="53"/>
  <c r="J40" i="53"/>
  <c r="I40" i="53"/>
  <c r="H40" i="53"/>
  <c r="G40" i="53"/>
  <c r="F40" i="53"/>
  <c r="C40" i="53"/>
  <c r="O39" i="53"/>
  <c r="N39" i="53"/>
  <c r="M39" i="53"/>
  <c r="L39" i="53"/>
  <c r="K39" i="53"/>
  <c r="J39" i="53"/>
  <c r="I39" i="53"/>
  <c r="H39" i="53"/>
  <c r="G39" i="53"/>
  <c r="F39" i="53"/>
  <c r="C39" i="53"/>
  <c r="O38" i="53"/>
  <c r="N38" i="53"/>
  <c r="M38" i="53"/>
  <c r="L38" i="53"/>
  <c r="K38" i="53"/>
  <c r="J38" i="53"/>
  <c r="I38" i="53"/>
  <c r="H38" i="53"/>
  <c r="G38" i="53"/>
  <c r="F38" i="53"/>
  <c r="C38" i="53"/>
  <c r="O37" i="53"/>
  <c r="N37" i="53"/>
  <c r="M37" i="53"/>
  <c r="L37" i="53"/>
  <c r="K37" i="53"/>
  <c r="J37" i="53"/>
  <c r="P37" i="53" s="1"/>
  <c r="I37" i="53"/>
  <c r="H37" i="53"/>
  <c r="G37" i="53"/>
  <c r="F37" i="53"/>
  <c r="C37" i="53"/>
  <c r="O36" i="53"/>
  <c r="N36" i="53"/>
  <c r="M36" i="53"/>
  <c r="L36" i="53"/>
  <c r="K36" i="53"/>
  <c r="J36" i="53"/>
  <c r="I36" i="53"/>
  <c r="H36" i="53"/>
  <c r="G36" i="53"/>
  <c r="F36" i="53"/>
  <c r="C36" i="53"/>
  <c r="O35" i="53"/>
  <c r="N35" i="53"/>
  <c r="M35" i="53"/>
  <c r="L35" i="53"/>
  <c r="K35" i="53"/>
  <c r="J35" i="53"/>
  <c r="I35" i="53"/>
  <c r="H35" i="53"/>
  <c r="G35" i="53"/>
  <c r="F35" i="53"/>
  <c r="C35" i="53"/>
  <c r="O34" i="53"/>
  <c r="N34" i="53"/>
  <c r="M34" i="53"/>
  <c r="L34" i="53"/>
  <c r="K34" i="53"/>
  <c r="J34" i="53"/>
  <c r="I34" i="53"/>
  <c r="H34" i="53"/>
  <c r="G34" i="53"/>
  <c r="F34" i="53"/>
  <c r="C34" i="53"/>
  <c r="O33" i="53"/>
  <c r="N33" i="53"/>
  <c r="M33" i="53"/>
  <c r="L33" i="53"/>
  <c r="K33" i="53"/>
  <c r="J33" i="53"/>
  <c r="I33" i="53"/>
  <c r="H33" i="53"/>
  <c r="G33" i="53"/>
  <c r="F33" i="53"/>
  <c r="C33" i="53"/>
  <c r="O32" i="53"/>
  <c r="N32" i="53"/>
  <c r="M32" i="53"/>
  <c r="L32" i="53"/>
  <c r="K32" i="53"/>
  <c r="J32" i="53"/>
  <c r="I32" i="53"/>
  <c r="H32" i="53"/>
  <c r="G32" i="53"/>
  <c r="F32" i="53"/>
  <c r="C32" i="53"/>
  <c r="O31" i="53"/>
  <c r="N31" i="53"/>
  <c r="M31" i="53"/>
  <c r="L31" i="53"/>
  <c r="K31" i="53"/>
  <c r="J31" i="53"/>
  <c r="I31" i="53"/>
  <c r="H31" i="53"/>
  <c r="G31" i="53"/>
  <c r="F31" i="53"/>
  <c r="C31" i="53"/>
  <c r="O30" i="53"/>
  <c r="N30" i="53"/>
  <c r="M30" i="53"/>
  <c r="L30" i="53"/>
  <c r="K30" i="53"/>
  <c r="J30" i="53"/>
  <c r="I30" i="53"/>
  <c r="H30" i="53"/>
  <c r="G30" i="53"/>
  <c r="F30" i="53"/>
  <c r="C30" i="53"/>
  <c r="O29" i="53"/>
  <c r="N29" i="53"/>
  <c r="M29" i="53"/>
  <c r="L29" i="53"/>
  <c r="K29" i="53"/>
  <c r="J29" i="53"/>
  <c r="I29" i="53"/>
  <c r="H29" i="53"/>
  <c r="G29" i="53"/>
  <c r="F29" i="53"/>
  <c r="C29" i="53"/>
  <c r="O28" i="53"/>
  <c r="N28" i="53"/>
  <c r="M28" i="53"/>
  <c r="L28" i="53"/>
  <c r="K28" i="53"/>
  <c r="Q28" i="53" s="1"/>
  <c r="J28" i="53"/>
  <c r="I28" i="53"/>
  <c r="H28" i="53"/>
  <c r="G28" i="53"/>
  <c r="F28" i="53"/>
  <c r="C28" i="53"/>
  <c r="O27" i="53"/>
  <c r="N27" i="53"/>
  <c r="M27" i="53"/>
  <c r="L27" i="53"/>
  <c r="K27" i="53"/>
  <c r="J27" i="53"/>
  <c r="I27" i="53"/>
  <c r="H27" i="53"/>
  <c r="G27" i="53"/>
  <c r="F27" i="53"/>
  <c r="C27" i="53"/>
  <c r="O26" i="53"/>
  <c r="N26" i="53"/>
  <c r="M26" i="53"/>
  <c r="L26" i="53"/>
  <c r="K26" i="53"/>
  <c r="J26" i="53"/>
  <c r="I26" i="53"/>
  <c r="H26" i="53"/>
  <c r="G26" i="53"/>
  <c r="F26" i="53"/>
  <c r="C26" i="53"/>
  <c r="O25" i="53"/>
  <c r="N25" i="53"/>
  <c r="M25" i="53"/>
  <c r="L25" i="53"/>
  <c r="K25" i="53"/>
  <c r="J25" i="53"/>
  <c r="I25" i="53"/>
  <c r="H25" i="53"/>
  <c r="G25" i="53"/>
  <c r="F25" i="53"/>
  <c r="C25" i="53"/>
  <c r="O24" i="53"/>
  <c r="N24" i="53"/>
  <c r="M24" i="53"/>
  <c r="L24" i="53"/>
  <c r="K24" i="53"/>
  <c r="J24" i="53"/>
  <c r="I24" i="53"/>
  <c r="H24" i="53"/>
  <c r="G24" i="53"/>
  <c r="F24" i="53"/>
  <c r="C24" i="53"/>
  <c r="O23" i="53"/>
  <c r="N23" i="53"/>
  <c r="M23" i="53"/>
  <c r="L23" i="53"/>
  <c r="K23" i="53"/>
  <c r="J23" i="53"/>
  <c r="P23" i="53" s="1"/>
  <c r="I23" i="53"/>
  <c r="H23" i="53"/>
  <c r="G23" i="53"/>
  <c r="F23" i="53"/>
  <c r="C23" i="53"/>
  <c r="O22" i="53"/>
  <c r="N22" i="53"/>
  <c r="M22" i="53"/>
  <c r="L22" i="53"/>
  <c r="K22" i="53"/>
  <c r="J22" i="53"/>
  <c r="I22" i="53"/>
  <c r="H22" i="53"/>
  <c r="G22" i="53"/>
  <c r="F22" i="53"/>
  <c r="C22" i="53"/>
  <c r="O21" i="53"/>
  <c r="N21" i="53"/>
  <c r="M21" i="53"/>
  <c r="L21" i="53"/>
  <c r="K21" i="53"/>
  <c r="Q21" i="53" s="1"/>
  <c r="J21" i="53"/>
  <c r="I21" i="53"/>
  <c r="H21" i="53"/>
  <c r="G21" i="53"/>
  <c r="F21" i="53"/>
  <c r="C21" i="53"/>
  <c r="O20" i="53"/>
  <c r="N20" i="53"/>
  <c r="M20" i="53"/>
  <c r="L20" i="53"/>
  <c r="K20" i="53"/>
  <c r="J20" i="53"/>
  <c r="I20" i="53"/>
  <c r="H20" i="53"/>
  <c r="G20" i="53"/>
  <c r="F20" i="53"/>
  <c r="C20" i="53"/>
  <c r="O19" i="53"/>
  <c r="N19" i="53"/>
  <c r="M19" i="53"/>
  <c r="L19" i="53"/>
  <c r="K19" i="53"/>
  <c r="J19" i="53"/>
  <c r="I19" i="53"/>
  <c r="H19" i="53"/>
  <c r="G19" i="53"/>
  <c r="F19" i="53"/>
  <c r="C19" i="53"/>
  <c r="O18" i="53"/>
  <c r="N18" i="53"/>
  <c r="M18" i="53"/>
  <c r="L18" i="53"/>
  <c r="K18" i="53"/>
  <c r="J18" i="53"/>
  <c r="I18" i="53"/>
  <c r="H18" i="53"/>
  <c r="G18" i="53"/>
  <c r="F18" i="53"/>
  <c r="C18" i="53"/>
  <c r="O17" i="53"/>
  <c r="N17" i="53"/>
  <c r="M17" i="53"/>
  <c r="L17" i="53"/>
  <c r="K17" i="53"/>
  <c r="J17" i="53"/>
  <c r="I17" i="53"/>
  <c r="H17" i="53"/>
  <c r="G17" i="53"/>
  <c r="F17" i="53"/>
  <c r="C17" i="53"/>
  <c r="O16" i="53"/>
  <c r="N16" i="53"/>
  <c r="M16" i="53"/>
  <c r="L16" i="53"/>
  <c r="K16" i="53"/>
  <c r="J16" i="53"/>
  <c r="I16" i="53"/>
  <c r="H16" i="53"/>
  <c r="G16" i="53"/>
  <c r="F16" i="53"/>
  <c r="C16" i="53"/>
  <c r="BQ44" i="52"/>
  <c r="AI44" i="52"/>
  <c r="B44" i="52"/>
  <c r="BQ43" i="52"/>
  <c r="AI43" i="52"/>
  <c r="B43" i="52"/>
  <c r="BQ42" i="52"/>
  <c r="AI42" i="52"/>
  <c r="B42" i="52"/>
  <c r="CU41" i="52"/>
  <c r="BQ41" i="52"/>
  <c r="BM41" i="52"/>
  <c r="AI41" i="52"/>
  <c r="AE41" i="52"/>
  <c r="B41" i="52"/>
  <c r="CU40" i="52"/>
  <c r="BQ40" i="52"/>
  <c r="BM40" i="52"/>
  <c r="AI40" i="52"/>
  <c r="AE40" i="52"/>
  <c r="B40" i="52"/>
  <c r="CU39" i="52"/>
  <c r="BQ39" i="52"/>
  <c r="BM39" i="52"/>
  <c r="AI39" i="52"/>
  <c r="AE39" i="52"/>
  <c r="B39" i="52"/>
  <c r="CU38" i="52"/>
  <c r="BQ38" i="52"/>
  <c r="BM38" i="52"/>
  <c r="AI38" i="52"/>
  <c r="AE38" i="52"/>
  <c r="AA38" i="52"/>
  <c r="B38" i="52"/>
  <c r="CU37" i="52"/>
  <c r="BQ37" i="52"/>
  <c r="BM37" i="52"/>
  <c r="AI37" i="52"/>
  <c r="AE37" i="52"/>
  <c r="AA37" i="52"/>
  <c r="B37" i="52"/>
  <c r="CU36" i="52"/>
  <c r="BQ36" i="52"/>
  <c r="BM36" i="52"/>
  <c r="AI36" i="52"/>
  <c r="AE36" i="52"/>
  <c r="AA36" i="52"/>
  <c r="B36" i="52"/>
  <c r="CU35" i="52"/>
  <c r="BQ35" i="52"/>
  <c r="BM35" i="52"/>
  <c r="AI35" i="52"/>
  <c r="AE35" i="52"/>
  <c r="AA35" i="52"/>
  <c r="B35" i="52"/>
  <c r="CU34" i="52"/>
  <c r="BQ34" i="52"/>
  <c r="BM34" i="52"/>
  <c r="AI34" i="52"/>
  <c r="AE34" i="52"/>
  <c r="AA34" i="52"/>
  <c r="B34" i="52"/>
  <c r="CU33" i="52"/>
  <c r="BQ33" i="52"/>
  <c r="BM33" i="52"/>
  <c r="AI33" i="52"/>
  <c r="AE33" i="52"/>
  <c r="AA33" i="52"/>
  <c r="B33" i="52"/>
  <c r="CU32" i="52"/>
  <c r="BQ32" i="52"/>
  <c r="BM32" i="52"/>
  <c r="AI32" i="52"/>
  <c r="AE32" i="52"/>
  <c r="AA32" i="52"/>
  <c r="B32" i="52"/>
  <c r="CU31" i="52"/>
  <c r="BQ31" i="52"/>
  <c r="BM31" i="52"/>
  <c r="AI31" i="52"/>
  <c r="AE31" i="52"/>
  <c r="AA31" i="52"/>
  <c r="B31" i="52"/>
  <c r="CU30" i="52"/>
  <c r="BQ30" i="52"/>
  <c r="BM30" i="52"/>
  <c r="AI30" i="52"/>
  <c r="AE30" i="52"/>
  <c r="AA30" i="52"/>
  <c r="B30" i="52"/>
  <c r="CU29" i="52"/>
  <c r="BQ29" i="52"/>
  <c r="BM29" i="52"/>
  <c r="AI29" i="52"/>
  <c r="AE29" i="52"/>
  <c r="AA29" i="52"/>
  <c r="B29" i="52"/>
  <c r="CU28" i="52"/>
  <c r="BQ28" i="52"/>
  <c r="BM28" i="52"/>
  <c r="AI28" i="52"/>
  <c r="AE28" i="52"/>
  <c r="AA28" i="52"/>
  <c r="B28" i="52"/>
  <c r="CU27" i="52"/>
  <c r="BQ27" i="52"/>
  <c r="BM27" i="52"/>
  <c r="AI27" i="52"/>
  <c r="AE27" i="52"/>
  <c r="AA27" i="52"/>
  <c r="B27" i="52"/>
  <c r="CU26" i="52"/>
  <c r="BQ26" i="52"/>
  <c r="BM26" i="52"/>
  <c r="AI26" i="52"/>
  <c r="AE26" i="52"/>
  <c r="AA26" i="52"/>
  <c r="B26" i="52"/>
  <c r="CU25" i="52"/>
  <c r="BQ25" i="52"/>
  <c r="BM25" i="52"/>
  <c r="AI25" i="52"/>
  <c r="AE25" i="52"/>
  <c r="AA25" i="52"/>
  <c r="B25" i="52"/>
  <c r="CU24" i="52"/>
  <c r="BQ24" i="52"/>
  <c r="BM24" i="52"/>
  <c r="AI24" i="52"/>
  <c r="AE24" i="52"/>
  <c r="AA24" i="52"/>
  <c r="B24" i="52"/>
  <c r="CU23" i="52"/>
  <c r="BQ23" i="52"/>
  <c r="BM23" i="52"/>
  <c r="AI23" i="52"/>
  <c r="AE23" i="52"/>
  <c r="AA23" i="52"/>
  <c r="B23" i="52"/>
  <c r="CU22" i="52"/>
  <c r="BQ22" i="52"/>
  <c r="BM22" i="52"/>
  <c r="AI22" i="52"/>
  <c r="AE22" i="52"/>
  <c r="AA22" i="52"/>
  <c r="B22" i="52"/>
  <c r="CU21" i="52"/>
  <c r="BQ21" i="52"/>
  <c r="BM21" i="52"/>
  <c r="AI21" i="52"/>
  <c r="AE21" i="52"/>
  <c r="AA21" i="52"/>
  <c r="B21" i="52"/>
  <c r="CU20" i="52"/>
  <c r="BQ20" i="52"/>
  <c r="BM20" i="52"/>
  <c r="AI20" i="52"/>
  <c r="AE20" i="52"/>
  <c r="AA20" i="52"/>
  <c r="B20" i="52"/>
  <c r="CU19" i="52"/>
  <c r="BQ19" i="52"/>
  <c r="BM19" i="52"/>
  <c r="AI19" i="52"/>
  <c r="AE19" i="52"/>
  <c r="AA19" i="52"/>
  <c r="B19" i="52"/>
  <c r="CU18" i="52"/>
  <c r="BQ18" i="52"/>
  <c r="BM18" i="52"/>
  <c r="AI18" i="52"/>
  <c r="AE18" i="52"/>
  <c r="AA18" i="52"/>
  <c r="B18" i="52"/>
  <c r="CU17" i="52"/>
  <c r="BQ17" i="52"/>
  <c r="BM17" i="52"/>
  <c r="AI17" i="52"/>
  <c r="AE17" i="52"/>
  <c r="AA17" i="52"/>
  <c r="B17" i="52"/>
  <c r="CU16" i="52"/>
  <c r="BQ16" i="52"/>
  <c r="BM16" i="52"/>
  <c r="AI16" i="52"/>
  <c r="AE16" i="52"/>
  <c r="AA16" i="52"/>
  <c r="B16" i="52"/>
  <c r="CU15" i="52"/>
  <c r="BQ15" i="52"/>
  <c r="BM15" i="52"/>
  <c r="AI15" i="52"/>
  <c r="AE15" i="52"/>
  <c r="AA15" i="52"/>
  <c r="B15" i="52"/>
  <c r="CU14" i="52"/>
  <c r="BQ14" i="52"/>
  <c r="BM14" i="52"/>
  <c r="AI14" i="52"/>
  <c r="AE14" i="52"/>
  <c r="AA14" i="52"/>
  <c r="B14" i="52"/>
  <c r="CU13" i="52"/>
  <c r="BQ13" i="52"/>
  <c r="BM13" i="52"/>
  <c r="AI13" i="52"/>
  <c r="AE13" i="52"/>
  <c r="AA13" i="52"/>
  <c r="B13" i="52"/>
  <c r="CU12" i="52"/>
  <c r="BQ12" i="52"/>
  <c r="BM12" i="52"/>
  <c r="AI12" i="52"/>
  <c r="AE12" i="52"/>
  <c r="AA12" i="52"/>
  <c r="B12" i="52"/>
  <c r="CU11" i="52"/>
  <c r="BQ11" i="52"/>
  <c r="BM11" i="52"/>
  <c r="AI11" i="52"/>
  <c r="AE11" i="52"/>
  <c r="AA11" i="52"/>
  <c r="B11" i="52"/>
  <c r="CU10" i="52"/>
  <c r="BQ10" i="52"/>
  <c r="BM10" i="52"/>
  <c r="AI10" i="52"/>
  <c r="AE10" i="52"/>
  <c r="AA10" i="52"/>
  <c r="B10" i="52"/>
  <c r="CU9" i="52"/>
  <c r="BQ9" i="52"/>
  <c r="BM9" i="52"/>
  <c r="AI9" i="52"/>
  <c r="AE9" i="52"/>
  <c r="AA9" i="52"/>
  <c r="B9" i="52"/>
  <c r="CU8" i="52"/>
  <c r="BQ8" i="52"/>
  <c r="BM8" i="52"/>
  <c r="AI8" i="52"/>
  <c r="AE8" i="52"/>
  <c r="AA8" i="52"/>
  <c r="B8" i="52"/>
  <c r="CU7" i="52"/>
  <c r="BQ7" i="52"/>
  <c r="BM7" i="52"/>
  <c r="AI7" i="52"/>
  <c r="AE7" i="52"/>
  <c r="AA7" i="52"/>
  <c r="B7" i="52"/>
  <c r="CU6" i="52"/>
  <c r="BQ6" i="52"/>
  <c r="BM6" i="52"/>
  <c r="AI6" i="52"/>
  <c r="AE6" i="52"/>
  <c r="AA6" i="52"/>
  <c r="B6" i="52"/>
  <c r="CU5" i="52"/>
  <c r="BQ5" i="52"/>
  <c r="BM5" i="52"/>
  <c r="AI5" i="52"/>
  <c r="AE5" i="52"/>
  <c r="AA5" i="52"/>
  <c r="B5" i="52"/>
  <c r="O55" i="51"/>
  <c r="N55" i="51"/>
  <c r="M55" i="51"/>
  <c r="L55" i="51"/>
  <c r="K55" i="51"/>
  <c r="Q55" i="51" s="1"/>
  <c r="J55" i="51"/>
  <c r="P55" i="51" s="1"/>
  <c r="I55" i="51"/>
  <c r="H55" i="51"/>
  <c r="G55" i="51"/>
  <c r="F55" i="51"/>
  <c r="C55" i="51"/>
  <c r="O54" i="51"/>
  <c r="N54" i="51"/>
  <c r="M54" i="51"/>
  <c r="L54" i="51"/>
  <c r="K54" i="51"/>
  <c r="Q54" i="51" s="1"/>
  <c r="J54" i="51"/>
  <c r="P54" i="51" s="1"/>
  <c r="I54" i="51"/>
  <c r="H54" i="51"/>
  <c r="G54" i="51"/>
  <c r="F54" i="51"/>
  <c r="C54" i="51"/>
  <c r="O53" i="51"/>
  <c r="N53" i="51"/>
  <c r="M53" i="51"/>
  <c r="L53" i="51"/>
  <c r="K53" i="51"/>
  <c r="Q53" i="51" s="1"/>
  <c r="J53" i="51"/>
  <c r="P53" i="51" s="1"/>
  <c r="I53" i="51"/>
  <c r="H53" i="51"/>
  <c r="G53" i="51"/>
  <c r="F53" i="51"/>
  <c r="C53" i="51"/>
  <c r="O52" i="51"/>
  <c r="N52" i="51"/>
  <c r="M52" i="51"/>
  <c r="L52" i="51"/>
  <c r="K52" i="51"/>
  <c r="J52" i="51"/>
  <c r="I52" i="51"/>
  <c r="H52" i="51"/>
  <c r="G52" i="51"/>
  <c r="F52" i="51"/>
  <c r="C52" i="51"/>
  <c r="O51" i="51"/>
  <c r="N51" i="51"/>
  <c r="M51" i="51"/>
  <c r="L51" i="51"/>
  <c r="K51" i="51"/>
  <c r="J51" i="51"/>
  <c r="I51" i="51"/>
  <c r="H51" i="51"/>
  <c r="G51" i="51"/>
  <c r="F51" i="51"/>
  <c r="C51" i="51"/>
  <c r="O50" i="51"/>
  <c r="N50" i="51"/>
  <c r="M50" i="51"/>
  <c r="L50" i="51"/>
  <c r="K50" i="51"/>
  <c r="J50" i="51"/>
  <c r="I50" i="51"/>
  <c r="H50" i="51"/>
  <c r="G50" i="51"/>
  <c r="F50" i="51"/>
  <c r="C50" i="51"/>
  <c r="O49" i="51"/>
  <c r="N49" i="51"/>
  <c r="M49" i="51"/>
  <c r="L49" i="51"/>
  <c r="K49" i="51"/>
  <c r="J49" i="51"/>
  <c r="I49" i="51"/>
  <c r="H49" i="51"/>
  <c r="G49" i="51"/>
  <c r="F49" i="51"/>
  <c r="C49" i="51"/>
  <c r="O48" i="51"/>
  <c r="N48" i="51"/>
  <c r="M48" i="51"/>
  <c r="L48" i="51"/>
  <c r="K48" i="51"/>
  <c r="J48" i="51"/>
  <c r="I48" i="51"/>
  <c r="H48" i="51"/>
  <c r="G48" i="51"/>
  <c r="F48" i="51"/>
  <c r="C48" i="51"/>
  <c r="O47" i="51"/>
  <c r="N47" i="51"/>
  <c r="M47" i="51"/>
  <c r="L47" i="51"/>
  <c r="K47" i="51"/>
  <c r="J47" i="51"/>
  <c r="I47" i="51"/>
  <c r="H47" i="51"/>
  <c r="G47" i="51"/>
  <c r="F47" i="51"/>
  <c r="C47" i="51"/>
  <c r="O46" i="51"/>
  <c r="N46" i="51"/>
  <c r="M46" i="51"/>
  <c r="L46" i="51"/>
  <c r="K46" i="51"/>
  <c r="J46" i="51"/>
  <c r="I46" i="51"/>
  <c r="H46" i="51"/>
  <c r="G46" i="51"/>
  <c r="F46" i="51"/>
  <c r="C46" i="51"/>
  <c r="O45" i="51"/>
  <c r="N45" i="51"/>
  <c r="M45" i="51"/>
  <c r="L45" i="51"/>
  <c r="K45" i="51"/>
  <c r="J45" i="51"/>
  <c r="I45" i="51"/>
  <c r="H45" i="51"/>
  <c r="G45" i="51"/>
  <c r="F45" i="51"/>
  <c r="C45" i="51"/>
  <c r="O44" i="51"/>
  <c r="N44" i="51"/>
  <c r="M44" i="51"/>
  <c r="L44" i="51"/>
  <c r="K44" i="51"/>
  <c r="J44" i="51"/>
  <c r="I44" i="51"/>
  <c r="H44" i="51"/>
  <c r="G44" i="51"/>
  <c r="F44" i="51"/>
  <c r="C44" i="51"/>
  <c r="O43" i="51"/>
  <c r="N43" i="51"/>
  <c r="M43" i="51"/>
  <c r="L43" i="51"/>
  <c r="K43" i="51"/>
  <c r="J43" i="51"/>
  <c r="I43" i="51"/>
  <c r="H43" i="51"/>
  <c r="G43" i="51"/>
  <c r="F43" i="51"/>
  <c r="C43" i="51"/>
  <c r="O42" i="51"/>
  <c r="N42" i="51"/>
  <c r="M42" i="51"/>
  <c r="L42" i="51"/>
  <c r="K42" i="51"/>
  <c r="J42" i="51"/>
  <c r="I42" i="51"/>
  <c r="H42" i="51"/>
  <c r="G42" i="51"/>
  <c r="F42" i="51"/>
  <c r="C42" i="51"/>
  <c r="O41" i="51"/>
  <c r="N41" i="51"/>
  <c r="M41" i="51"/>
  <c r="L41" i="51"/>
  <c r="K41" i="51"/>
  <c r="J41" i="51"/>
  <c r="I41" i="51"/>
  <c r="H41" i="51"/>
  <c r="G41" i="51"/>
  <c r="F41" i="51"/>
  <c r="C41" i="51"/>
  <c r="O40" i="51"/>
  <c r="N40" i="51"/>
  <c r="M40" i="51"/>
  <c r="L40" i="51"/>
  <c r="K40" i="51"/>
  <c r="J40" i="51"/>
  <c r="I40" i="51"/>
  <c r="H40" i="51"/>
  <c r="G40" i="51"/>
  <c r="F40" i="51"/>
  <c r="C40" i="51"/>
  <c r="O39" i="51"/>
  <c r="N39" i="51"/>
  <c r="M39" i="51"/>
  <c r="L39" i="51"/>
  <c r="K39" i="51"/>
  <c r="J39" i="51"/>
  <c r="I39" i="51"/>
  <c r="H39" i="51"/>
  <c r="G39" i="51"/>
  <c r="F39" i="51"/>
  <c r="C39" i="51"/>
  <c r="O38" i="51"/>
  <c r="N38" i="51"/>
  <c r="M38" i="51"/>
  <c r="L38" i="51"/>
  <c r="K38" i="51"/>
  <c r="J38" i="51"/>
  <c r="I38" i="51"/>
  <c r="H38" i="51"/>
  <c r="G38" i="51"/>
  <c r="F38" i="51"/>
  <c r="C38" i="51"/>
  <c r="O37" i="51"/>
  <c r="N37" i="51"/>
  <c r="M37" i="51"/>
  <c r="L37" i="51"/>
  <c r="K37" i="51"/>
  <c r="J37" i="51"/>
  <c r="I37" i="51"/>
  <c r="H37" i="51"/>
  <c r="G37" i="51"/>
  <c r="F37" i="51"/>
  <c r="C37" i="51"/>
  <c r="O36" i="51"/>
  <c r="N36" i="51"/>
  <c r="M36" i="51"/>
  <c r="L36" i="51"/>
  <c r="K36" i="51"/>
  <c r="J36" i="51"/>
  <c r="I36" i="51"/>
  <c r="H36" i="51"/>
  <c r="G36" i="51"/>
  <c r="F36" i="51"/>
  <c r="C36" i="51"/>
  <c r="O35" i="51"/>
  <c r="N35" i="51"/>
  <c r="M35" i="51"/>
  <c r="L35" i="51"/>
  <c r="K35" i="51"/>
  <c r="J35" i="51"/>
  <c r="I35" i="51"/>
  <c r="H35" i="51"/>
  <c r="G35" i="51"/>
  <c r="F35" i="51"/>
  <c r="C35" i="51"/>
  <c r="O34" i="51"/>
  <c r="N34" i="51"/>
  <c r="M34" i="51"/>
  <c r="L34" i="51"/>
  <c r="K34" i="51"/>
  <c r="J34" i="51"/>
  <c r="I34" i="51"/>
  <c r="H34" i="51"/>
  <c r="G34" i="51"/>
  <c r="F34" i="51"/>
  <c r="C34" i="51"/>
  <c r="O33" i="51"/>
  <c r="N33" i="51"/>
  <c r="M33" i="51"/>
  <c r="L33" i="51"/>
  <c r="K33" i="51"/>
  <c r="J33" i="51"/>
  <c r="I33" i="51"/>
  <c r="H33" i="51"/>
  <c r="G33" i="51"/>
  <c r="F33" i="51"/>
  <c r="C33" i="51"/>
  <c r="O32" i="51"/>
  <c r="N32" i="51"/>
  <c r="M32" i="51"/>
  <c r="L32" i="51"/>
  <c r="K32" i="51"/>
  <c r="J32" i="51"/>
  <c r="I32" i="51"/>
  <c r="H32" i="51"/>
  <c r="G32" i="51"/>
  <c r="F32" i="51"/>
  <c r="C32" i="51"/>
  <c r="O31" i="51"/>
  <c r="N31" i="51"/>
  <c r="M31" i="51"/>
  <c r="L31" i="51"/>
  <c r="K31" i="51"/>
  <c r="J31" i="51"/>
  <c r="I31" i="51"/>
  <c r="H31" i="51"/>
  <c r="G31" i="51"/>
  <c r="F31" i="51"/>
  <c r="C31" i="51"/>
  <c r="O30" i="51"/>
  <c r="N30" i="51"/>
  <c r="M30" i="51"/>
  <c r="L30" i="51"/>
  <c r="K30" i="51"/>
  <c r="J30" i="51"/>
  <c r="I30" i="51"/>
  <c r="H30" i="51"/>
  <c r="G30" i="51"/>
  <c r="F30" i="51"/>
  <c r="C30" i="51"/>
  <c r="O29" i="51"/>
  <c r="N29" i="51"/>
  <c r="M29" i="51"/>
  <c r="L29" i="51"/>
  <c r="K29" i="51"/>
  <c r="J29" i="51"/>
  <c r="I29" i="51"/>
  <c r="H29" i="51"/>
  <c r="G29" i="51"/>
  <c r="F29" i="51"/>
  <c r="C29" i="51"/>
  <c r="O28" i="51"/>
  <c r="N28" i="51"/>
  <c r="M28" i="51"/>
  <c r="L28" i="51"/>
  <c r="K28" i="51"/>
  <c r="J28" i="51"/>
  <c r="I28" i="51"/>
  <c r="H28" i="51"/>
  <c r="G28" i="51"/>
  <c r="F28" i="51"/>
  <c r="C28" i="51"/>
  <c r="O27" i="51"/>
  <c r="N27" i="51"/>
  <c r="M27" i="51"/>
  <c r="L27" i="51"/>
  <c r="K27" i="51"/>
  <c r="Q27" i="51" s="1"/>
  <c r="J27" i="51"/>
  <c r="I27" i="51"/>
  <c r="H27" i="51"/>
  <c r="G27" i="51"/>
  <c r="F27" i="51"/>
  <c r="C27" i="51"/>
  <c r="O26" i="51"/>
  <c r="N26" i="51"/>
  <c r="M26" i="51"/>
  <c r="L26" i="51"/>
  <c r="K26" i="51"/>
  <c r="J26" i="51"/>
  <c r="I26" i="51"/>
  <c r="H26" i="51"/>
  <c r="G26" i="51"/>
  <c r="F26" i="51"/>
  <c r="C26" i="51"/>
  <c r="O25" i="51"/>
  <c r="N25" i="51"/>
  <c r="M25" i="51"/>
  <c r="L25" i="51"/>
  <c r="K25" i="51"/>
  <c r="J25" i="51"/>
  <c r="I25" i="51"/>
  <c r="H25" i="51"/>
  <c r="G25" i="51"/>
  <c r="F25" i="51"/>
  <c r="C25" i="51"/>
  <c r="O24" i="51"/>
  <c r="N24" i="51"/>
  <c r="M24" i="51"/>
  <c r="L24" i="51"/>
  <c r="K24" i="51"/>
  <c r="J24" i="51"/>
  <c r="I24" i="51"/>
  <c r="H24" i="51"/>
  <c r="G24" i="51"/>
  <c r="F24" i="51"/>
  <c r="C24" i="51"/>
  <c r="O23" i="51"/>
  <c r="N23" i="51"/>
  <c r="M23" i="51"/>
  <c r="L23" i="51"/>
  <c r="K23" i="51"/>
  <c r="J23" i="51"/>
  <c r="I23" i="51"/>
  <c r="H23" i="51"/>
  <c r="G23" i="51"/>
  <c r="F23" i="51"/>
  <c r="C23" i="51"/>
  <c r="O22" i="51"/>
  <c r="N22" i="51"/>
  <c r="M22" i="51"/>
  <c r="L22" i="51"/>
  <c r="K22" i="51"/>
  <c r="J22" i="51"/>
  <c r="I22" i="51"/>
  <c r="H22" i="51"/>
  <c r="G22" i="51"/>
  <c r="F22" i="51"/>
  <c r="C22" i="51"/>
  <c r="O21" i="51"/>
  <c r="N21" i="51"/>
  <c r="M21" i="51"/>
  <c r="L21" i="51"/>
  <c r="K21" i="51"/>
  <c r="J21" i="51"/>
  <c r="I21" i="51"/>
  <c r="H21" i="51"/>
  <c r="G21" i="51"/>
  <c r="F21" i="51"/>
  <c r="C21" i="51"/>
  <c r="O20" i="51"/>
  <c r="N20" i="51"/>
  <c r="M20" i="51"/>
  <c r="L20" i="51"/>
  <c r="K20" i="51"/>
  <c r="J20" i="51"/>
  <c r="I20" i="51"/>
  <c r="H20" i="51"/>
  <c r="G20" i="51"/>
  <c r="F20" i="51"/>
  <c r="C20" i="51"/>
  <c r="O19" i="51"/>
  <c r="N19" i="51"/>
  <c r="M19" i="51"/>
  <c r="L19" i="51"/>
  <c r="K19" i="51"/>
  <c r="J19" i="51"/>
  <c r="I19" i="51"/>
  <c r="H19" i="51"/>
  <c r="G19" i="51"/>
  <c r="F19" i="51"/>
  <c r="C19" i="51"/>
  <c r="O18" i="51"/>
  <c r="N18" i="51"/>
  <c r="M18" i="51"/>
  <c r="L18" i="51"/>
  <c r="K18" i="51"/>
  <c r="J18" i="51"/>
  <c r="I18" i="51"/>
  <c r="H18" i="51"/>
  <c r="G18" i="51"/>
  <c r="F18" i="51"/>
  <c r="C18" i="51"/>
  <c r="O17" i="51"/>
  <c r="N17" i="51"/>
  <c r="M17" i="51"/>
  <c r="L17" i="51"/>
  <c r="K17" i="51"/>
  <c r="J17" i="51"/>
  <c r="I17" i="51"/>
  <c r="H17" i="51"/>
  <c r="G17" i="51"/>
  <c r="F17" i="51"/>
  <c r="C17" i="51"/>
  <c r="O16" i="51"/>
  <c r="N16" i="51"/>
  <c r="M16" i="51"/>
  <c r="L16" i="51"/>
  <c r="K16" i="51"/>
  <c r="J16" i="51"/>
  <c r="P16" i="51" s="1"/>
  <c r="I16" i="51"/>
  <c r="H16" i="51"/>
  <c r="G16" i="51"/>
  <c r="F16" i="51"/>
  <c r="C16" i="51"/>
  <c r="BQ44" i="50"/>
  <c r="AI44" i="50"/>
  <c r="B44" i="50"/>
  <c r="BQ43" i="50"/>
  <c r="AI43" i="50"/>
  <c r="B43" i="50"/>
  <c r="BQ42" i="50"/>
  <c r="AI42" i="50"/>
  <c r="B42" i="50"/>
  <c r="CU41" i="50"/>
  <c r="BQ41" i="50"/>
  <c r="BM41" i="50"/>
  <c r="AI41" i="50"/>
  <c r="AE41" i="50"/>
  <c r="B41" i="50"/>
  <c r="CU40" i="50"/>
  <c r="BQ40" i="50"/>
  <c r="BM40" i="50"/>
  <c r="AI40" i="50"/>
  <c r="AE40" i="50"/>
  <c r="B40" i="50"/>
  <c r="CU39" i="50"/>
  <c r="BQ39" i="50"/>
  <c r="BM39" i="50"/>
  <c r="AI39" i="50"/>
  <c r="AE39" i="50"/>
  <c r="B39" i="50"/>
  <c r="CU38" i="50"/>
  <c r="BQ38" i="50"/>
  <c r="BM38" i="50"/>
  <c r="AI38" i="50"/>
  <c r="AE38" i="50"/>
  <c r="AA38" i="50"/>
  <c r="B38" i="50"/>
  <c r="CU37" i="50"/>
  <c r="BQ37" i="50"/>
  <c r="BM37" i="50"/>
  <c r="AI37" i="50"/>
  <c r="AE37" i="50"/>
  <c r="AA37" i="50"/>
  <c r="B37" i="50"/>
  <c r="CU36" i="50"/>
  <c r="BQ36" i="50"/>
  <c r="BM36" i="50"/>
  <c r="AI36" i="50"/>
  <c r="AE36" i="50"/>
  <c r="AA36" i="50"/>
  <c r="B36" i="50"/>
  <c r="CU35" i="50"/>
  <c r="BQ35" i="50"/>
  <c r="BM35" i="50"/>
  <c r="AI35" i="50"/>
  <c r="AE35" i="50"/>
  <c r="AA35" i="50"/>
  <c r="B35" i="50"/>
  <c r="CU34" i="50"/>
  <c r="BQ34" i="50"/>
  <c r="BM34" i="50"/>
  <c r="AI34" i="50"/>
  <c r="AE34" i="50"/>
  <c r="AA34" i="50"/>
  <c r="B34" i="50"/>
  <c r="CU33" i="50"/>
  <c r="BQ33" i="50"/>
  <c r="BM33" i="50"/>
  <c r="AI33" i="50"/>
  <c r="AE33" i="50"/>
  <c r="AA33" i="50"/>
  <c r="B33" i="50"/>
  <c r="CU32" i="50"/>
  <c r="BQ32" i="50"/>
  <c r="BM32" i="50"/>
  <c r="AI32" i="50"/>
  <c r="AE32" i="50"/>
  <c r="AA32" i="50"/>
  <c r="B32" i="50"/>
  <c r="CU31" i="50"/>
  <c r="BQ31" i="50"/>
  <c r="BM31" i="50"/>
  <c r="AI31" i="50"/>
  <c r="AE31" i="50"/>
  <c r="AA31" i="50"/>
  <c r="B31" i="50"/>
  <c r="CU30" i="50"/>
  <c r="BQ30" i="50"/>
  <c r="BM30" i="50"/>
  <c r="AI30" i="50"/>
  <c r="AE30" i="50"/>
  <c r="AA30" i="50"/>
  <c r="B30" i="50"/>
  <c r="CU29" i="50"/>
  <c r="BQ29" i="50"/>
  <c r="BM29" i="50"/>
  <c r="AI29" i="50"/>
  <c r="AE29" i="50"/>
  <c r="AA29" i="50"/>
  <c r="B29" i="50"/>
  <c r="CU28" i="50"/>
  <c r="BQ28" i="50"/>
  <c r="BM28" i="50"/>
  <c r="AI28" i="50"/>
  <c r="AE28" i="50"/>
  <c r="AA28" i="50"/>
  <c r="B28" i="50"/>
  <c r="CU27" i="50"/>
  <c r="BQ27" i="50"/>
  <c r="BM27" i="50"/>
  <c r="AI27" i="50"/>
  <c r="AE27" i="50"/>
  <c r="AA27" i="50"/>
  <c r="B27" i="50"/>
  <c r="CU26" i="50"/>
  <c r="BQ26" i="50"/>
  <c r="BM26" i="50"/>
  <c r="AI26" i="50"/>
  <c r="AE26" i="50"/>
  <c r="AA26" i="50"/>
  <c r="B26" i="50"/>
  <c r="CU25" i="50"/>
  <c r="BQ25" i="50"/>
  <c r="BM25" i="50"/>
  <c r="AI25" i="50"/>
  <c r="AE25" i="50"/>
  <c r="AA25" i="50"/>
  <c r="B25" i="50"/>
  <c r="CU24" i="50"/>
  <c r="BQ24" i="50"/>
  <c r="BM24" i="50"/>
  <c r="AI24" i="50"/>
  <c r="AE24" i="50"/>
  <c r="AA24" i="50"/>
  <c r="B24" i="50"/>
  <c r="CU23" i="50"/>
  <c r="BQ23" i="50"/>
  <c r="BM23" i="50"/>
  <c r="AI23" i="50"/>
  <c r="AE23" i="50"/>
  <c r="AA23" i="50"/>
  <c r="B23" i="50"/>
  <c r="CU22" i="50"/>
  <c r="BQ22" i="50"/>
  <c r="BM22" i="50"/>
  <c r="AI22" i="50"/>
  <c r="AE22" i="50"/>
  <c r="AA22" i="50"/>
  <c r="B22" i="50"/>
  <c r="CU21" i="50"/>
  <c r="BQ21" i="50"/>
  <c r="BM21" i="50"/>
  <c r="AI21" i="50"/>
  <c r="AE21" i="50"/>
  <c r="AA21" i="50"/>
  <c r="B21" i="50"/>
  <c r="CU20" i="50"/>
  <c r="BQ20" i="50"/>
  <c r="BM20" i="50"/>
  <c r="AI20" i="50"/>
  <c r="AE20" i="50"/>
  <c r="AA20" i="50"/>
  <c r="B20" i="50"/>
  <c r="CU19" i="50"/>
  <c r="BQ19" i="50"/>
  <c r="BM19" i="50"/>
  <c r="AI19" i="50"/>
  <c r="AE19" i="50"/>
  <c r="AA19" i="50"/>
  <c r="B19" i="50"/>
  <c r="CU18" i="50"/>
  <c r="BQ18" i="50"/>
  <c r="BM18" i="50"/>
  <c r="AI18" i="50"/>
  <c r="AE18" i="50"/>
  <c r="AA18" i="50"/>
  <c r="B18" i="50"/>
  <c r="CU17" i="50"/>
  <c r="BQ17" i="50"/>
  <c r="BM17" i="50"/>
  <c r="AI17" i="50"/>
  <c r="AE17" i="50"/>
  <c r="AA17" i="50"/>
  <c r="B17" i="50"/>
  <c r="CU16" i="50"/>
  <c r="BQ16" i="50"/>
  <c r="BM16" i="50"/>
  <c r="AI16" i="50"/>
  <c r="AE16" i="50"/>
  <c r="AA16" i="50"/>
  <c r="B16" i="50"/>
  <c r="CU15" i="50"/>
  <c r="BQ15" i="50"/>
  <c r="BM15" i="50"/>
  <c r="AI15" i="50"/>
  <c r="AE15" i="50"/>
  <c r="AA15" i="50"/>
  <c r="B15" i="50"/>
  <c r="CU14" i="50"/>
  <c r="BQ14" i="50"/>
  <c r="BM14" i="50"/>
  <c r="AI14" i="50"/>
  <c r="AE14" i="50"/>
  <c r="AA14" i="50"/>
  <c r="B14" i="50"/>
  <c r="CU13" i="50"/>
  <c r="BQ13" i="50"/>
  <c r="BM13" i="50"/>
  <c r="AI13" i="50"/>
  <c r="AE13" i="50"/>
  <c r="AA13" i="50"/>
  <c r="B13" i="50"/>
  <c r="CU12" i="50"/>
  <c r="BQ12" i="50"/>
  <c r="BM12" i="50"/>
  <c r="AI12" i="50"/>
  <c r="AE12" i="50"/>
  <c r="AA12" i="50"/>
  <c r="B12" i="50"/>
  <c r="CU11" i="50"/>
  <c r="BQ11" i="50"/>
  <c r="BM11" i="50"/>
  <c r="AI11" i="50"/>
  <c r="AE11" i="50"/>
  <c r="AA11" i="50"/>
  <c r="B11" i="50"/>
  <c r="CU10" i="50"/>
  <c r="BQ10" i="50"/>
  <c r="BM10" i="50"/>
  <c r="AI10" i="50"/>
  <c r="AE10" i="50"/>
  <c r="AA10" i="50"/>
  <c r="B10" i="50"/>
  <c r="CU9" i="50"/>
  <c r="BQ9" i="50"/>
  <c r="BM9" i="50"/>
  <c r="AI9" i="50"/>
  <c r="AE9" i="50"/>
  <c r="AA9" i="50"/>
  <c r="B9" i="50"/>
  <c r="CU8" i="50"/>
  <c r="BQ8" i="50"/>
  <c r="BM8" i="50"/>
  <c r="AI8" i="50"/>
  <c r="AE8" i="50"/>
  <c r="AA8" i="50"/>
  <c r="B8" i="50"/>
  <c r="CU7" i="50"/>
  <c r="BQ7" i="50"/>
  <c r="BM7" i="50"/>
  <c r="AI7" i="50"/>
  <c r="AE7" i="50"/>
  <c r="AA7" i="50"/>
  <c r="B7" i="50"/>
  <c r="CU6" i="50"/>
  <c r="BQ6" i="50"/>
  <c r="BM6" i="50"/>
  <c r="AI6" i="50"/>
  <c r="AE6" i="50"/>
  <c r="AA6" i="50"/>
  <c r="B6" i="50"/>
  <c r="CU5" i="50"/>
  <c r="BQ5" i="50"/>
  <c r="BM5" i="50"/>
  <c r="AI5" i="50"/>
  <c r="AE5" i="50"/>
  <c r="AA5" i="50"/>
  <c r="B5" i="50"/>
  <c r="O55" i="49"/>
  <c r="N55" i="49"/>
  <c r="M55" i="49"/>
  <c r="L55" i="49"/>
  <c r="K55" i="49"/>
  <c r="J55" i="49"/>
  <c r="I55" i="49"/>
  <c r="H55" i="49"/>
  <c r="G55" i="49"/>
  <c r="F55" i="49"/>
  <c r="C55" i="49"/>
  <c r="O54" i="49"/>
  <c r="N54" i="49"/>
  <c r="M54" i="49"/>
  <c r="L54" i="49"/>
  <c r="K54" i="49"/>
  <c r="J54" i="49"/>
  <c r="I54" i="49"/>
  <c r="H54" i="49"/>
  <c r="G54" i="49"/>
  <c r="F54" i="49"/>
  <c r="C54" i="49"/>
  <c r="O53" i="49"/>
  <c r="N53" i="49"/>
  <c r="M53" i="49"/>
  <c r="L53" i="49"/>
  <c r="K53" i="49"/>
  <c r="J53" i="49"/>
  <c r="I53" i="49"/>
  <c r="H53" i="49"/>
  <c r="G53" i="49"/>
  <c r="F53" i="49"/>
  <c r="C53" i="49"/>
  <c r="O52" i="49"/>
  <c r="N52" i="49"/>
  <c r="M52" i="49"/>
  <c r="L52" i="49"/>
  <c r="K52" i="49"/>
  <c r="J52" i="49"/>
  <c r="I52" i="49"/>
  <c r="H52" i="49"/>
  <c r="G52" i="49"/>
  <c r="F52" i="49"/>
  <c r="C52" i="49"/>
  <c r="O51" i="49"/>
  <c r="N51" i="49"/>
  <c r="M51" i="49"/>
  <c r="L51" i="49"/>
  <c r="K51" i="49"/>
  <c r="J51" i="49"/>
  <c r="I51" i="49"/>
  <c r="H51" i="49"/>
  <c r="G51" i="49"/>
  <c r="F51" i="49"/>
  <c r="C51" i="49"/>
  <c r="O50" i="49"/>
  <c r="N50" i="49"/>
  <c r="M50" i="49"/>
  <c r="L50" i="49"/>
  <c r="K50" i="49"/>
  <c r="J50" i="49"/>
  <c r="I50" i="49"/>
  <c r="H50" i="49"/>
  <c r="G50" i="49"/>
  <c r="F50" i="49"/>
  <c r="C50" i="49"/>
  <c r="O49" i="49"/>
  <c r="N49" i="49"/>
  <c r="M49" i="49"/>
  <c r="L49" i="49"/>
  <c r="K49" i="49"/>
  <c r="J49" i="49"/>
  <c r="I49" i="49"/>
  <c r="H49" i="49"/>
  <c r="G49" i="49"/>
  <c r="F49" i="49"/>
  <c r="C49" i="49"/>
  <c r="O48" i="49"/>
  <c r="N48" i="49"/>
  <c r="M48" i="49"/>
  <c r="L48" i="49"/>
  <c r="K48" i="49"/>
  <c r="J48" i="49"/>
  <c r="I48" i="49"/>
  <c r="H48" i="49"/>
  <c r="G48" i="49"/>
  <c r="F48" i="49"/>
  <c r="C48" i="49"/>
  <c r="O47" i="49"/>
  <c r="N47" i="49"/>
  <c r="M47" i="49"/>
  <c r="L47" i="49"/>
  <c r="K47" i="49"/>
  <c r="J47" i="49"/>
  <c r="I47" i="49"/>
  <c r="H47" i="49"/>
  <c r="G47" i="49"/>
  <c r="F47" i="49"/>
  <c r="C47" i="49"/>
  <c r="O46" i="49"/>
  <c r="N46" i="49"/>
  <c r="M46" i="49"/>
  <c r="L46" i="49"/>
  <c r="K46" i="49"/>
  <c r="J46" i="49"/>
  <c r="I46" i="49"/>
  <c r="H46" i="49"/>
  <c r="G46" i="49"/>
  <c r="F46" i="49"/>
  <c r="C46" i="49"/>
  <c r="O45" i="49"/>
  <c r="N45" i="49"/>
  <c r="M45" i="49"/>
  <c r="L45" i="49"/>
  <c r="K45" i="49"/>
  <c r="J45" i="49"/>
  <c r="I45" i="49"/>
  <c r="H45" i="49"/>
  <c r="G45" i="49"/>
  <c r="F45" i="49"/>
  <c r="C45" i="49"/>
  <c r="O44" i="49"/>
  <c r="N44" i="49"/>
  <c r="M44" i="49"/>
  <c r="L44" i="49"/>
  <c r="K44" i="49"/>
  <c r="J44" i="49"/>
  <c r="I44" i="49"/>
  <c r="H44" i="49"/>
  <c r="G44" i="49"/>
  <c r="F44" i="49"/>
  <c r="C44" i="49"/>
  <c r="O43" i="49"/>
  <c r="N43" i="49"/>
  <c r="M43" i="49"/>
  <c r="L43" i="49"/>
  <c r="K43" i="49"/>
  <c r="J43" i="49"/>
  <c r="I43" i="49"/>
  <c r="H43" i="49"/>
  <c r="G43" i="49"/>
  <c r="F43" i="49"/>
  <c r="C43" i="49"/>
  <c r="O42" i="49"/>
  <c r="N42" i="49"/>
  <c r="M42" i="49"/>
  <c r="L42" i="49"/>
  <c r="K42" i="49"/>
  <c r="J42" i="49"/>
  <c r="I42" i="49"/>
  <c r="H42" i="49"/>
  <c r="G42" i="49"/>
  <c r="F42" i="49"/>
  <c r="C42" i="49"/>
  <c r="O41" i="49"/>
  <c r="N41" i="49"/>
  <c r="M41" i="49"/>
  <c r="L41" i="49"/>
  <c r="K41" i="49"/>
  <c r="J41" i="49"/>
  <c r="I41" i="49"/>
  <c r="H41" i="49"/>
  <c r="G41" i="49"/>
  <c r="F41" i="49"/>
  <c r="C41" i="49"/>
  <c r="O40" i="49"/>
  <c r="N40" i="49"/>
  <c r="M40" i="49"/>
  <c r="L40" i="49"/>
  <c r="K40" i="49"/>
  <c r="J40" i="49"/>
  <c r="I40" i="49"/>
  <c r="H40" i="49"/>
  <c r="G40" i="49"/>
  <c r="F40" i="49"/>
  <c r="C40" i="49"/>
  <c r="O39" i="49"/>
  <c r="N39" i="49"/>
  <c r="M39" i="49"/>
  <c r="L39" i="49"/>
  <c r="K39" i="49"/>
  <c r="J39" i="49"/>
  <c r="P39" i="49" s="1"/>
  <c r="I39" i="49"/>
  <c r="H39" i="49"/>
  <c r="G39" i="49"/>
  <c r="F39" i="49"/>
  <c r="C39" i="49"/>
  <c r="O38" i="49"/>
  <c r="N38" i="49"/>
  <c r="M38" i="49"/>
  <c r="L38" i="49"/>
  <c r="K38" i="49"/>
  <c r="J38" i="49"/>
  <c r="I38" i="49"/>
  <c r="H38" i="49"/>
  <c r="G38" i="49"/>
  <c r="F38" i="49"/>
  <c r="C38" i="49"/>
  <c r="O37" i="49"/>
  <c r="N37" i="49"/>
  <c r="M37" i="49"/>
  <c r="L37" i="49"/>
  <c r="K37" i="49"/>
  <c r="J37" i="49"/>
  <c r="I37" i="49"/>
  <c r="H37" i="49"/>
  <c r="G37" i="49"/>
  <c r="F37" i="49"/>
  <c r="C37" i="49"/>
  <c r="O36" i="49"/>
  <c r="N36" i="49"/>
  <c r="M36" i="49"/>
  <c r="L36" i="49"/>
  <c r="K36" i="49"/>
  <c r="J36" i="49"/>
  <c r="I36" i="49"/>
  <c r="H36" i="49"/>
  <c r="G36" i="49"/>
  <c r="F36" i="49"/>
  <c r="C36" i="49"/>
  <c r="O35" i="49"/>
  <c r="N35" i="49"/>
  <c r="M35" i="49"/>
  <c r="L35" i="49"/>
  <c r="K35" i="49"/>
  <c r="Q35" i="49" s="1"/>
  <c r="J35" i="49"/>
  <c r="I35" i="49"/>
  <c r="H35" i="49"/>
  <c r="G35" i="49"/>
  <c r="F35" i="49"/>
  <c r="C35" i="49"/>
  <c r="O34" i="49"/>
  <c r="N34" i="49"/>
  <c r="M34" i="49"/>
  <c r="L34" i="49"/>
  <c r="K34" i="49"/>
  <c r="J34" i="49"/>
  <c r="I34" i="49"/>
  <c r="H34" i="49"/>
  <c r="G34" i="49"/>
  <c r="F34" i="49"/>
  <c r="C34" i="49"/>
  <c r="O33" i="49"/>
  <c r="N33" i="49"/>
  <c r="M33" i="49"/>
  <c r="L33" i="49"/>
  <c r="K33" i="49"/>
  <c r="J33" i="49"/>
  <c r="I33" i="49"/>
  <c r="H33" i="49"/>
  <c r="G33" i="49"/>
  <c r="F33" i="49"/>
  <c r="C33" i="49"/>
  <c r="O32" i="49"/>
  <c r="N32" i="49"/>
  <c r="M32" i="49"/>
  <c r="L32" i="49"/>
  <c r="K32" i="49"/>
  <c r="J32" i="49"/>
  <c r="I32" i="49"/>
  <c r="H32" i="49"/>
  <c r="G32" i="49"/>
  <c r="F32" i="49"/>
  <c r="C32" i="49"/>
  <c r="O31" i="49"/>
  <c r="N31" i="49"/>
  <c r="M31" i="49"/>
  <c r="L31" i="49"/>
  <c r="K31" i="49"/>
  <c r="J31" i="49"/>
  <c r="I31" i="49"/>
  <c r="H31" i="49"/>
  <c r="G31" i="49"/>
  <c r="F31" i="49"/>
  <c r="C31" i="49"/>
  <c r="O30" i="49"/>
  <c r="N30" i="49"/>
  <c r="M30" i="49"/>
  <c r="L30" i="49"/>
  <c r="K30" i="49"/>
  <c r="J30" i="49"/>
  <c r="I30" i="49"/>
  <c r="H30" i="49"/>
  <c r="G30" i="49"/>
  <c r="F30" i="49"/>
  <c r="C30" i="49"/>
  <c r="O29" i="49"/>
  <c r="N29" i="49"/>
  <c r="M29" i="49"/>
  <c r="L29" i="49"/>
  <c r="K29" i="49"/>
  <c r="J29" i="49"/>
  <c r="I29" i="49"/>
  <c r="H29" i="49"/>
  <c r="G29" i="49"/>
  <c r="F29" i="49"/>
  <c r="C29" i="49"/>
  <c r="O28" i="49"/>
  <c r="N28" i="49"/>
  <c r="M28" i="49"/>
  <c r="L28" i="49"/>
  <c r="K28" i="49"/>
  <c r="J28" i="49"/>
  <c r="I28" i="49"/>
  <c r="H28" i="49"/>
  <c r="G28" i="49"/>
  <c r="F28" i="49"/>
  <c r="C28" i="49"/>
  <c r="O27" i="49"/>
  <c r="N27" i="49"/>
  <c r="M27" i="49"/>
  <c r="L27" i="49"/>
  <c r="K27" i="49"/>
  <c r="J27" i="49"/>
  <c r="I27" i="49"/>
  <c r="H27" i="49"/>
  <c r="G27" i="49"/>
  <c r="F27" i="49"/>
  <c r="C27" i="49"/>
  <c r="O26" i="49"/>
  <c r="N26" i="49"/>
  <c r="M26" i="49"/>
  <c r="L26" i="49"/>
  <c r="K26" i="49"/>
  <c r="J26" i="49"/>
  <c r="I26" i="49"/>
  <c r="H26" i="49"/>
  <c r="G26" i="49"/>
  <c r="F26" i="49"/>
  <c r="C26" i="49"/>
  <c r="O25" i="49"/>
  <c r="N25" i="49"/>
  <c r="M25" i="49"/>
  <c r="L25" i="49"/>
  <c r="K25" i="49"/>
  <c r="J25" i="49"/>
  <c r="I25" i="49"/>
  <c r="H25" i="49"/>
  <c r="G25" i="49"/>
  <c r="F25" i="49"/>
  <c r="C25" i="49"/>
  <c r="O24" i="49"/>
  <c r="N24" i="49"/>
  <c r="M24" i="49"/>
  <c r="L24" i="49"/>
  <c r="K24" i="49"/>
  <c r="J24" i="49"/>
  <c r="I24" i="49"/>
  <c r="H24" i="49"/>
  <c r="G24" i="49"/>
  <c r="F24" i="49"/>
  <c r="C24" i="49"/>
  <c r="O23" i="49"/>
  <c r="N23" i="49"/>
  <c r="M23" i="49"/>
  <c r="L23" i="49"/>
  <c r="K23" i="49"/>
  <c r="J23" i="49"/>
  <c r="I23" i="49"/>
  <c r="H23" i="49"/>
  <c r="G23" i="49"/>
  <c r="F23" i="49"/>
  <c r="C23" i="49"/>
  <c r="O22" i="49"/>
  <c r="N22" i="49"/>
  <c r="M22" i="49"/>
  <c r="L22" i="49"/>
  <c r="K22" i="49"/>
  <c r="Q22" i="49" s="1"/>
  <c r="J22" i="49"/>
  <c r="I22" i="49"/>
  <c r="H22" i="49"/>
  <c r="G22" i="49"/>
  <c r="F22" i="49"/>
  <c r="C22" i="49"/>
  <c r="O21" i="49"/>
  <c r="N21" i="49"/>
  <c r="M21" i="49"/>
  <c r="L21" i="49"/>
  <c r="K21" i="49"/>
  <c r="J21" i="49"/>
  <c r="I21" i="49"/>
  <c r="H21" i="49"/>
  <c r="G21" i="49"/>
  <c r="F21" i="49"/>
  <c r="C21" i="49"/>
  <c r="O20" i="49"/>
  <c r="N20" i="49"/>
  <c r="M20" i="49"/>
  <c r="L20" i="49"/>
  <c r="K20" i="49"/>
  <c r="Q20" i="49" s="1"/>
  <c r="J20" i="49"/>
  <c r="I20" i="49"/>
  <c r="H20" i="49"/>
  <c r="G20" i="49"/>
  <c r="F20" i="49"/>
  <c r="C20" i="49"/>
  <c r="O19" i="49"/>
  <c r="N19" i="49"/>
  <c r="M19" i="49"/>
  <c r="L19" i="49"/>
  <c r="P19" i="49" s="1"/>
  <c r="K19" i="49"/>
  <c r="J19" i="49"/>
  <c r="I19" i="49"/>
  <c r="H19" i="49"/>
  <c r="G19" i="49"/>
  <c r="F19" i="49"/>
  <c r="C19" i="49"/>
  <c r="O18" i="49"/>
  <c r="N18" i="49"/>
  <c r="M18" i="49"/>
  <c r="L18" i="49"/>
  <c r="K18" i="49"/>
  <c r="J18" i="49"/>
  <c r="I18" i="49"/>
  <c r="H18" i="49"/>
  <c r="G18" i="49"/>
  <c r="F18" i="49"/>
  <c r="C18" i="49"/>
  <c r="O17" i="49"/>
  <c r="N17" i="49"/>
  <c r="M17" i="49"/>
  <c r="L17" i="49"/>
  <c r="K17" i="49"/>
  <c r="J17" i="49"/>
  <c r="I17" i="49"/>
  <c r="H17" i="49"/>
  <c r="G17" i="49"/>
  <c r="F17" i="49"/>
  <c r="C17" i="49"/>
  <c r="O16" i="49"/>
  <c r="N16" i="49"/>
  <c r="M16" i="49"/>
  <c r="L16" i="49"/>
  <c r="K16" i="49"/>
  <c r="J16" i="49"/>
  <c r="I16" i="49"/>
  <c r="H16" i="49"/>
  <c r="G16" i="49"/>
  <c r="F16" i="49"/>
  <c r="C16" i="49"/>
  <c r="BQ44" i="48"/>
  <c r="AI44" i="48"/>
  <c r="B44" i="48"/>
  <c r="BQ43" i="48"/>
  <c r="AI43" i="48"/>
  <c r="B43" i="48"/>
  <c r="BQ42" i="48"/>
  <c r="AI42" i="48"/>
  <c r="B42" i="48"/>
  <c r="CU41" i="48"/>
  <c r="BQ41" i="48"/>
  <c r="BM41" i="48"/>
  <c r="AI41" i="48"/>
  <c r="AE41" i="48"/>
  <c r="B41" i="48"/>
  <c r="CU40" i="48"/>
  <c r="BQ40" i="48"/>
  <c r="BM40" i="48"/>
  <c r="AI40" i="48"/>
  <c r="AE40" i="48"/>
  <c r="B40" i="48"/>
  <c r="CU39" i="48"/>
  <c r="BQ39" i="48"/>
  <c r="BM39" i="48"/>
  <c r="AI39" i="48"/>
  <c r="AE39" i="48"/>
  <c r="B39" i="48"/>
  <c r="CU38" i="48"/>
  <c r="BQ38" i="48"/>
  <c r="BM38" i="48"/>
  <c r="AI38" i="48"/>
  <c r="AE38" i="48"/>
  <c r="B38" i="48"/>
  <c r="CU37" i="48"/>
  <c r="BQ37" i="48"/>
  <c r="BM37" i="48"/>
  <c r="AI37" i="48"/>
  <c r="AE37" i="48"/>
  <c r="B37" i="48"/>
  <c r="CU36" i="48"/>
  <c r="BQ36" i="48"/>
  <c r="BM36" i="48"/>
  <c r="AI36" i="48"/>
  <c r="AE36" i="48"/>
  <c r="B36" i="48"/>
  <c r="CU35" i="48"/>
  <c r="BQ35" i="48"/>
  <c r="BM35" i="48"/>
  <c r="AI35" i="48"/>
  <c r="AE35" i="48"/>
  <c r="B35" i="48"/>
  <c r="CU34" i="48"/>
  <c r="BQ34" i="48"/>
  <c r="BM34" i="48"/>
  <c r="AI34" i="48"/>
  <c r="AE34" i="48"/>
  <c r="B34" i="48"/>
  <c r="CU33" i="48"/>
  <c r="BQ33" i="48"/>
  <c r="BM33" i="48"/>
  <c r="AI33" i="48"/>
  <c r="AE33" i="48"/>
  <c r="B33" i="48"/>
  <c r="CU32" i="48"/>
  <c r="BQ32" i="48"/>
  <c r="BM32" i="48"/>
  <c r="AI32" i="48"/>
  <c r="AE32" i="48"/>
  <c r="B32" i="48"/>
  <c r="CU31" i="48"/>
  <c r="BQ31" i="48"/>
  <c r="BM31" i="48"/>
  <c r="AI31" i="48"/>
  <c r="AE31" i="48"/>
  <c r="B31" i="48"/>
  <c r="CU30" i="48"/>
  <c r="BQ30" i="48"/>
  <c r="BM30" i="48"/>
  <c r="AI30" i="48"/>
  <c r="AE30" i="48"/>
  <c r="B30" i="48"/>
  <c r="CU29" i="48"/>
  <c r="BQ29" i="48"/>
  <c r="BM29" i="48"/>
  <c r="AI29" i="48"/>
  <c r="AE29" i="48"/>
  <c r="B29" i="48"/>
  <c r="CU28" i="48"/>
  <c r="BQ28" i="48"/>
  <c r="BM28" i="48"/>
  <c r="AI28" i="48"/>
  <c r="AE28" i="48"/>
  <c r="B28" i="48"/>
  <c r="CU27" i="48"/>
  <c r="BQ27" i="48"/>
  <c r="BM27" i="48"/>
  <c r="AI27" i="48"/>
  <c r="AE27" i="48"/>
  <c r="B27" i="48"/>
  <c r="CU26" i="48"/>
  <c r="BQ26" i="48"/>
  <c r="BM26" i="48"/>
  <c r="AI26" i="48"/>
  <c r="AE26" i="48"/>
  <c r="B26" i="48"/>
  <c r="CU25" i="48"/>
  <c r="BQ25" i="48"/>
  <c r="BM25" i="48"/>
  <c r="AI25" i="48"/>
  <c r="AE25" i="48"/>
  <c r="B25" i="48"/>
  <c r="CU24" i="48"/>
  <c r="BQ24" i="48"/>
  <c r="BM24" i="48"/>
  <c r="AI24" i="48"/>
  <c r="AE24" i="48"/>
  <c r="B24" i="48"/>
  <c r="CU23" i="48"/>
  <c r="BQ23" i="48"/>
  <c r="BM23" i="48"/>
  <c r="AI23" i="48"/>
  <c r="AE23" i="48"/>
  <c r="B23" i="48"/>
  <c r="CU22" i="48"/>
  <c r="BQ22" i="48"/>
  <c r="BM22" i="48"/>
  <c r="AI22" i="48"/>
  <c r="AE22" i="48"/>
  <c r="B22" i="48"/>
  <c r="CU21" i="48"/>
  <c r="BQ21" i="48"/>
  <c r="BM21" i="48"/>
  <c r="AI21" i="48"/>
  <c r="AE21" i="48"/>
  <c r="B21" i="48"/>
  <c r="CU20" i="48"/>
  <c r="BQ20" i="48"/>
  <c r="BM20" i="48"/>
  <c r="AI20" i="48"/>
  <c r="AE20" i="48"/>
  <c r="B20" i="48"/>
  <c r="CU19" i="48"/>
  <c r="BQ19" i="48"/>
  <c r="BM19" i="48"/>
  <c r="AI19" i="48"/>
  <c r="AE19" i="48"/>
  <c r="B19" i="48"/>
  <c r="CU18" i="48"/>
  <c r="BQ18" i="48"/>
  <c r="BM18" i="48"/>
  <c r="AI18" i="48"/>
  <c r="AE18" i="48"/>
  <c r="B18" i="48"/>
  <c r="CU17" i="48"/>
  <c r="BQ17" i="48"/>
  <c r="BM17" i="48"/>
  <c r="AI17" i="48"/>
  <c r="AE17" i="48"/>
  <c r="B17" i="48"/>
  <c r="CU16" i="48"/>
  <c r="BQ16" i="48"/>
  <c r="BM16" i="48"/>
  <c r="AI16" i="48"/>
  <c r="AE16" i="48"/>
  <c r="B16" i="48"/>
  <c r="CU15" i="48"/>
  <c r="BQ15" i="48"/>
  <c r="BM15" i="48"/>
  <c r="AI15" i="48"/>
  <c r="AE15" i="48"/>
  <c r="B15" i="48"/>
  <c r="CU14" i="48"/>
  <c r="BQ14" i="48"/>
  <c r="BM14" i="48"/>
  <c r="AI14" i="48"/>
  <c r="AE14" i="48"/>
  <c r="B14" i="48"/>
  <c r="CU13" i="48"/>
  <c r="BQ13" i="48"/>
  <c r="BM13" i="48"/>
  <c r="AI13" i="48"/>
  <c r="AE13" i="48"/>
  <c r="B13" i="48"/>
  <c r="CU12" i="48"/>
  <c r="BQ12" i="48"/>
  <c r="BM12" i="48"/>
  <c r="AI12" i="48"/>
  <c r="AE12" i="48"/>
  <c r="B12" i="48"/>
  <c r="CU11" i="48"/>
  <c r="BQ11" i="48"/>
  <c r="BM11" i="48"/>
  <c r="AI11" i="48"/>
  <c r="AE11" i="48"/>
  <c r="B11" i="48"/>
  <c r="CU10" i="48"/>
  <c r="BQ10" i="48"/>
  <c r="BM10" i="48"/>
  <c r="AI10" i="48"/>
  <c r="AE10" i="48"/>
  <c r="B10" i="48"/>
  <c r="CU9" i="48"/>
  <c r="BQ9" i="48"/>
  <c r="BM9" i="48"/>
  <c r="AI9" i="48"/>
  <c r="AE9" i="48"/>
  <c r="B9" i="48"/>
  <c r="CU8" i="48"/>
  <c r="BQ8" i="48"/>
  <c r="BM8" i="48"/>
  <c r="AI8" i="48"/>
  <c r="AE8" i="48"/>
  <c r="B8" i="48"/>
  <c r="CU7" i="48"/>
  <c r="BQ7" i="48"/>
  <c r="BM7" i="48"/>
  <c r="AI7" i="48"/>
  <c r="AE7" i="48"/>
  <c r="B7" i="48"/>
  <c r="CU6" i="48"/>
  <c r="BQ6" i="48"/>
  <c r="BM6" i="48"/>
  <c r="AI6" i="48"/>
  <c r="AE6" i="48"/>
  <c r="B6" i="48"/>
  <c r="CU5" i="48"/>
  <c r="BQ5" i="48"/>
  <c r="BM5" i="48"/>
  <c r="AI5" i="48"/>
  <c r="AE5" i="48"/>
  <c r="B5" i="48"/>
  <c r="O55" i="47"/>
  <c r="N55" i="47"/>
  <c r="M55" i="47"/>
  <c r="L55" i="47"/>
  <c r="K55" i="47"/>
  <c r="J55" i="47"/>
  <c r="I55" i="47"/>
  <c r="H55" i="47"/>
  <c r="G55" i="47"/>
  <c r="F55" i="47"/>
  <c r="C55" i="47"/>
  <c r="O54" i="47"/>
  <c r="N54" i="47"/>
  <c r="M54" i="47"/>
  <c r="L54" i="47"/>
  <c r="K54" i="47"/>
  <c r="J54" i="47"/>
  <c r="I54" i="47"/>
  <c r="H54" i="47"/>
  <c r="G54" i="47"/>
  <c r="F54" i="47"/>
  <c r="C54" i="47"/>
  <c r="O53" i="47"/>
  <c r="N53" i="47"/>
  <c r="M53" i="47"/>
  <c r="L53" i="47"/>
  <c r="K53" i="47"/>
  <c r="J53" i="47"/>
  <c r="I53" i="47"/>
  <c r="H53" i="47"/>
  <c r="G53" i="47"/>
  <c r="F53" i="47"/>
  <c r="C53" i="47"/>
  <c r="O52" i="47"/>
  <c r="N52" i="47"/>
  <c r="M52" i="47"/>
  <c r="L52" i="47"/>
  <c r="K52" i="47"/>
  <c r="J52" i="47"/>
  <c r="I52" i="47"/>
  <c r="H52" i="47"/>
  <c r="G52" i="47"/>
  <c r="F52" i="47"/>
  <c r="C52" i="47"/>
  <c r="O51" i="47"/>
  <c r="N51" i="47"/>
  <c r="M51" i="47"/>
  <c r="L51" i="47"/>
  <c r="K51" i="47"/>
  <c r="J51" i="47"/>
  <c r="I51" i="47"/>
  <c r="H51" i="47"/>
  <c r="G51" i="47"/>
  <c r="F51" i="47"/>
  <c r="C51" i="47"/>
  <c r="O50" i="47"/>
  <c r="N50" i="47"/>
  <c r="M50" i="47"/>
  <c r="L50" i="47"/>
  <c r="K50" i="47"/>
  <c r="J50" i="47"/>
  <c r="I50" i="47"/>
  <c r="H50" i="47"/>
  <c r="G50" i="47"/>
  <c r="F50" i="47"/>
  <c r="C50" i="47"/>
  <c r="O49" i="47"/>
  <c r="N49" i="47"/>
  <c r="M49" i="47"/>
  <c r="L49" i="47"/>
  <c r="K49" i="47"/>
  <c r="J49" i="47"/>
  <c r="I49" i="47"/>
  <c r="H49" i="47"/>
  <c r="G49" i="47"/>
  <c r="F49" i="47"/>
  <c r="C49" i="47"/>
  <c r="O48" i="47"/>
  <c r="N48" i="47"/>
  <c r="M48" i="47"/>
  <c r="L48" i="47"/>
  <c r="K48" i="47"/>
  <c r="J48" i="47"/>
  <c r="I48" i="47"/>
  <c r="H48" i="47"/>
  <c r="G48" i="47"/>
  <c r="F48" i="47"/>
  <c r="C48" i="47"/>
  <c r="O47" i="47"/>
  <c r="N47" i="47"/>
  <c r="M47" i="47"/>
  <c r="L47" i="47"/>
  <c r="K47" i="47"/>
  <c r="J47" i="47"/>
  <c r="I47" i="47"/>
  <c r="H47" i="47"/>
  <c r="G47" i="47"/>
  <c r="F47" i="47"/>
  <c r="C47" i="47"/>
  <c r="O46" i="47"/>
  <c r="N46" i="47"/>
  <c r="M46" i="47"/>
  <c r="L46" i="47"/>
  <c r="K46" i="47"/>
  <c r="J46" i="47"/>
  <c r="I46" i="47"/>
  <c r="H46" i="47"/>
  <c r="G46" i="47"/>
  <c r="F46" i="47"/>
  <c r="C46" i="47"/>
  <c r="O45" i="47"/>
  <c r="N45" i="47"/>
  <c r="M45" i="47"/>
  <c r="L45" i="47"/>
  <c r="K45" i="47"/>
  <c r="J45" i="47"/>
  <c r="I45" i="47"/>
  <c r="H45" i="47"/>
  <c r="G45" i="47"/>
  <c r="F45" i="47"/>
  <c r="C45" i="47"/>
  <c r="O44" i="47"/>
  <c r="N44" i="47"/>
  <c r="M44" i="47"/>
  <c r="L44" i="47"/>
  <c r="K44" i="47"/>
  <c r="J44" i="47"/>
  <c r="I44" i="47"/>
  <c r="H44" i="47"/>
  <c r="G44" i="47"/>
  <c r="F44" i="47"/>
  <c r="C44" i="47"/>
  <c r="O43" i="47"/>
  <c r="N43" i="47"/>
  <c r="M43" i="47"/>
  <c r="L43" i="47"/>
  <c r="K43" i="47"/>
  <c r="J43" i="47"/>
  <c r="I43" i="47"/>
  <c r="H43" i="47"/>
  <c r="G43" i="47"/>
  <c r="F43" i="47"/>
  <c r="C43" i="47"/>
  <c r="O42" i="47"/>
  <c r="N42" i="47"/>
  <c r="M42" i="47"/>
  <c r="L42" i="47"/>
  <c r="K42" i="47"/>
  <c r="J42" i="47"/>
  <c r="I42" i="47"/>
  <c r="H42" i="47"/>
  <c r="G42" i="47"/>
  <c r="F42" i="47"/>
  <c r="C42" i="47"/>
  <c r="O41" i="47"/>
  <c r="N41" i="47"/>
  <c r="M41" i="47"/>
  <c r="L41" i="47"/>
  <c r="K41" i="47"/>
  <c r="J41" i="47"/>
  <c r="I41" i="47"/>
  <c r="H41" i="47"/>
  <c r="G41" i="47"/>
  <c r="F41" i="47"/>
  <c r="C41" i="47"/>
  <c r="O40" i="47"/>
  <c r="N40" i="47"/>
  <c r="M40" i="47"/>
  <c r="L40" i="47"/>
  <c r="K40" i="47"/>
  <c r="J40" i="47"/>
  <c r="I40" i="47"/>
  <c r="H40" i="47"/>
  <c r="G40" i="47"/>
  <c r="F40" i="47"/>
  <c r="C40" i="47"/>
  <c r="O39" i="47"/>
  <c r="N39" i="47"/>
  <c r="M39" i="47"/>
  <c r="L39" i="47"/>
  <c r="K39" i="47"/>
  <c r="J39" i="47"/>
  <c r="I39" i="47"/>
  <c r="H39" i="47"/>
  <c r="G39" i="47"/>
  <c r="F39" i="47"/>
  <c r="C39" i="47"/>
  <c r="O38" i="47"/>
  <c r="N38" i="47"/>
  <c r="M38" i="47"/>
  <c r="L38" i="47"/>
  <c r="K38" i="47"/>
  <c r="J38" i="47"/>
  <c r="I38" i="47"/>
  <c r="H38" i="47"/>
  <c r="G38" i="47"/>
  <c r="F38" i="47"/>
  <c r="C38" i="47"/>
  <c r="O37" i="47"/>
  <c r="N37" i="47"/>
  <c r="M37" i="47"/>
  <c r="L37" i="47"/>
  <c r="K37" i="47"/>
  <c r="J37" i="47"/>
  <c r="I37" i="47"/>
  <c r="H37" i="47"/>
  <c r="G37" i="47"/>
  <c r="F37" i="47"/>
  <c r="C37" i="47"/>
  <c r="O36" i="47"/>
  <c r="N36" i="47"/>
  <c r="M36" i="47"/>
  <c r="L36" i="47"/>
  <c r="K36" i="47"/>
  <c r="J36" i="47"/>
  <c r="I36" i="47"/>
  <c r="H36" i="47"/>
  <c r="G36" i="47"/>
  <c r="F36" i="47"/>
  <c r="C36" i="47"/>
  <c r="O35" i="47"/>
  <c r="N35" i="47"/>
  <c r="M35" i="47"/>
  <c r="L35" i="47"/>
  <c r="K35" i="47"/>
  <c r="J35" i="47"/>
  <c r="I35" i="47"/>
  <c r="H35" i="47"/>
  <c r="G35" i="47"/>
  <c r="F35" i="47"/>
  <c r="C35" i="47"/>
  <c r="O34" i="47"/>
  <c r="N34" i="47"/>
  <c r="M34" i="47"/>
  <c r="L34" i="47"/>
  <c r="K34" i="47"/>
  <c r="J34" i="47"/>
  <c r="I34" i="47"/>
  <c r="H34" i="47"/>
  <c r="G34" i="47"/>
  <c r="F34" i="47"/>
  <c r="C34" i="47"/>
  <c r="O33" i="47"/>
  <c r="N33" i="47"/>
  <c r="M33" i="47"/>
  <c r="L33" i="47"/>
  <c r="K33" i="47"/>
  <c r="J33" i="47"/>
  <c r="I33" i="47"/>
  <c r="H33" i="47"/>
  <c r="G33" i="47"/>
  <c r="F33" i="47"/>
  <c r="C33" i="47"/>
  <c r="O32" i="47"/>
  <c r="N32" i="47"/>
  <c r="M32" i="47"/>
  <c r="L32" i="47"/>
  <c r="K32" i="47"/>
  <c r="J32" i="47"/>
  <c r="I32" i="47"/>
  <c r="H32" i="47"/>
  <c r="G32" i="47"/>
  <c r="F32" i="47"/>
  <c r="C32" i="47"/>
  <c r="O31" i="47"/>
  <c r="N31" i="47"/>
  <c r="M31" i="47"/>
  <c r="L31" i="47"/>
  <c r="K31" i="47"/>
  <c r="J31" i="47"/>
  <c r="I31" i="47"/>
  <c r="H31" i="47"/>
  <c r="G31" i="47"/>
  <c r="F31" i="47"/>
  <c r="C31" i="47"/>
  <c r="O30" i="47"/>
  <c r="N30" i="47"/>
  <c r="M30" i="47"/>
  <c r="L30" i="47"/>
  <c r="K30" i="47"/>
  <c r="J30" i="47"/>
  <c r="I30" i="47"/>
  <c r="H30" i="47"/>
  <c r="G30" i="47"/>
  <c r="F30" i="47"/>
  <c r="C30" i="47"/>
  <c r="O29" i="47"/>
  <c r="N29" i="47"/>
  <c r="M29" i="47"/>
  <c r="L29" i="47"/>
  <c r="K29" i="47"/>
  <c r="J29" i="47"/>
  <c r="I29" i="47"/>
  <c r="H29" i="47"/>
  <c r="G29" i="47"/>
  <c r="F29" i="47"/>
  <c r="C29" i="47"/>
  <c r="O28" i="47"/>
  <c r="N28" i="47"/>
  <c r="M28" i="47"/>
  <c r="L28" i="47"/>
  <c r="K28" i="47"/>
  <c r="J28" i="47"/>
  <c r="I28" i="47"/>
  <c r="H28" i="47"/>
  <c r="G28" i="47"/>
  <c r="F28" i="47"/>
  <c r="C28" i="47"/>
  <c r="O27" i="47"/>
  <c r="N27" i="47"/>
  <c r="M27" i="47"/>
  <c r="L27" i="47"/>
  <c r="K27" i="47"/>
  <c r="J27" i="47"/>
  <c r="I27" i="47"/>
  <c r="H27" i="47"/>
  <c r="G27" i="47"/>
  <c r="F27" i="47"/>
  <c r="C27" i="47"/>
  <c r="O26" i="47"/>
  <c r="N26" i="47"/>
  <c r="M26" i="47"/>
  <c r="L26" i="47"/>
  <c r="K26" i="47"/>
  <c r="J26" i="47"/>
  <c r="I26" i="47"/>
  <c r="H26" i="47"/>
  <c r="G26" i="47"/>
  <c r="F26" i="47"/>
  <c r="C26" i="47"/>
  <c r="O25" i="47"/>
  <c r="N25" i="47"/>
  <c r="M25" i="47"/>
  <c r="L25" i="47"/>
  <c r="K25" i="47"/>
  <c r="J25" i="47"/>
  <c r="I25" i="47"/>
  <c r="H25" i="47"/>
  <c r="G25" i="47"/>
  <c r="F25" i="47"/>
  <c r="C25" i="47"/>
  <c r="O24" i="47"/>
  <c r="N24" i="47"/>
  <c r="M24" i="47"/>
  <c r="L24" i="47"/>
  <c r="K24" i="47"/>
  <c r="J24" i="47"/>
  <c r="I24" i="47"/>
  <c r="H24" i="47"/>
  <c r="G24" i="47"/>
  <c r="F24" i="47"/>
  <c r="C24" i="47"/>
  <c r="O23" i="47"/>
  <c r="N23" i="47"/>
  <c r="M23" i="47"/>
  <c r="L23" i="47"/>
  <c r="K23" i="47"/>
  <c r="J23" i="47"/>
  <c r="I23" i="47"/>
  <c r="H23" i="47"/>
  <c r="G23" i="47"/>
  <c r="F23" i="47"/>
  <c r="C23" i="47"/>
  <c r="O22" i="47"/>
  <c r="N22" i="47"/>
  <c r="M22" i="47"/>
  <c r="Q22" i="47" s="1"/>
  <c r="L22" i="47"/>
  <c r="K22" i="47"/>
  <c r="J22" i="47"/>
  <c r="I22" i="47"/>
  <c r="H22" i="47"/>
  <c r="G22" i="47"/>
  <c r="F22" i="47"/>
  <c r="C22" i="47"/>
  <c r="O21" i="47"/>
  <c r="N21" i="47"/>
  <c r="M21" i="47"/>
  <c r="L21" i="47"/>
  <c r="K21" i="47"/>
  <c r="J21" i="47"/>
  <c r="I21" i="47"/>
  <c r="H21" i="47"/>
  <c r="G21" i="47"/>
  <c r="F21" i="47"/>
  <c r="C21" i="47"/>
  <c r="O20" i="47"/>
  <c r="N20" i="47"/>
  <c r="M20" i="47"/>
  <c r="L20" i="47"/>
  <c r="K20" i="47"/>
  <c r="J20" i="47"/>
  <c r="I20" i="47"/>
  <c r="H20" i="47"/>
  <c r="G20" i="47"/>
  <c r="F20" i="47"/>
  <c r="C20" i="47"/>
  <c r="O19" i="47"/>
  <c r="N19" i="47"/>
  <c r="M19" i="47"/>
  <c r="L19" i="47"/>
  <c r="K19" i="47"/>
  <c r="J19" i="47"/>
  <c r="I19" i="47"/>
  <c r="H19" i="47"/>
  <c r="G19" i="47"/>
  <c r="F19" i="47"/>
  <c r="C19" i="47"/>
  <c r="O18" i="47"/>
  <c r="N18" i="47"/>
  <c r="M18" i="47"/>
  <c r="L18" i="47"/>
  <c r="K18" i="47"/>
  <c r="J18" i="47"/>
  <c r="I18" i="47"/>
  <c r="H18" i="47"/>
  <c r="G18" i="47"/>
  <c r="F18" i="47"/>
  <c r="C18" i="47"/>
  <c r="O17" i="47"/>
  <c r="N17" i="47"/>
  <c r="M17" i="47"/>
  <c r="L17" i="47"/>
  <c r="K17" i="47"/>
  <c r="Q17" i="47" s="1"/>
  <c r="J17" i="47"/>
  <c r="I17" i="47"/>
  <c r="H17" i="47"/>
  <c r="G17" i="47"/>
  <c r="F17" i="47"/>
  <c r="C17" i="47"/>
  <c r="O16" i="47"/>
  <c r="N16" i="47"/>
  <c r="M16" i="47"/>
  <c r="L16" i="47"/>
  <c r="K16" i="47"/>
  <c r="J16" i="47"/>
  <c r="I16" i="47"/>
  <c r="H16" i="47"/>
  <c r="G16" i="47"/>
  <c r="F16" i="47"/>
  <c r="C16" i="47"/>
  <c r="BQ44" i="46"/>
  <c r="AI44" i="46"/>
  <c r="B44" i="46"/>
  <c r="BQ43" i="46"/>
  <c r="AI43" i="46"/>
  <c r="B43" i="46"/>
  <c r="BQ42" i="46"/>
  <c r="AI42" i="46"/>
  <c r="B42" i="46"/>
  <c r="CU41" i="46"/>
  <c r="BQ41" i="46"/>
  <c r="BM41" i="46"/>
  <c r="AI41" i="46"/>
  <c r="AE41" i="46"/>
  <c r="B41" i="46"/>
  <c r="CU40" i="46"/>
  <c r="BQ40" i="46"/>
  <c r="BM40" i="46"/>
  <c r="AI40" i="46"/>
  <c r="AE40" i="46"/>
  <c r="B40" i="46"/>
  <c r="CU39" i="46"/>
  <c r="BQ39" i="46"/>
  <c r="BM39" i="46"/>
  <c r="AI39" i="46"/>
  <c r="AE39" i="46"/>
  <c r="B39" i="46"/>
  <c r="CU38" i="46"/>
  <c r="BQ38" i="46"/>
  <c r="BM38" i="46"/>
  <c r="AI38" i="46"/>
  <c r="AE38" i="46"/>
  <c r="B38" i="46"/>
  <c r="CU37" i="46"/>
  <c r="BQ37" i="46"/>
  <c r="BM37" i="46"/>
  <c r="AI37" i="46"/>
  <c r="AE37" i="46"/>
  <c r="B37" i="46"/>
  <c r="CU36" i="46"/>
  <c r="BQ36" i="46"/>
  <c r="BM36" i="46"/>
  <c r="AI36" i="46"/>
  <c r="AE36" i="46"/>
  <c r="B36" i="46"/>
  <c r="CU35" i="46"/>
  <c r="BQ35" i="46"/>
  <c r="BM35" i="46"/>
  <c r="AI35" i="46"/>
  <c r="AE35" i="46"/>
  <c r="B35" i="46"/>
  <c r="CU34" i="46"/>
  <c r="BQ34" i="46"/>
  <c r="BM34" i="46"/>
  <c r="AI34" i="46"/>
  <c r="AE34" i="46"/>
  <c r="B34" i="46"/>
  <c r="CU33" i="46"/>
  <c r="BQ33" i="46"/>
  <c r="BM33" i="46"/>
  <c r="AI33" i="46"/>
  <c r="AE33" i="46"/>
  <c r="B33" i="46"/>
  <c r="CU32" i="46"/>
  <c r="BQ32" i="46"/>
  <c r="BM32" i="46"/>
  <c r="AI32" i="46"/>
  <c r="AE32" i="46"/>
  <c r="B32" i="46"/>
  <c r="CU31" i="46"/>
  <c r="BQ31" i="46"/>
  <c r="BM31" i="46"/>
  <c r="AI31" i="46"/>
  <c r="AE31" i="46"/>
  <c r="B31" i="46"/>
  <c r="CU30" i="46"/>
  <c r="BQ30" i="46"/>
  <c r="BM30" i="46"/>
  <c r="AI30" i="46"/>
  <c r="AE30" i="46"/>
  <c r="B30" i="46"/>
  <c r="CU29" i="46"/>
  <c r="BQ29" i="46"/>
  <c r="BM29" i="46"/>
  <c r="AI29" i="46"/>
  <c r="AE29" i="46"/>
  <c r="B29" i="46"/>
  <c r="CU28" i="46"/>
  <c r="BQ28" i="46"/>
  <c r="BM28" i="46"/>
  <c r="AI28" i="46"/>
  <c r="AE28" i="46"/>
  <c r="B28" i="46"/>
  <c r="CU27" i="46"/>
  <c r="BQ27" i="46"/>
  <c r="BM27" i="46"/>
  <c r="AI27" i="46"/>
  <c r="AE27" i="46"/>
  <c r="B27" i="46"/>
  <c r="CU26" i="46"/>
  <c r="BQ26" i="46"/>
  <c r="BM26" i="46"/>
  <c r="AI26" i="46"/>
  <c r="AE26" i="46"/>
  <c r="B26" i="46"/>
  <c r="CU25" i="46"/>
  <c r="BQ25" i="46"/>
  <c r="BM25" i="46"/>
  <c r="AI25" i="46"/>
  <c r="AE25" i="46"/>
  <c r="B25" i="46"/>
  <c r="CU24" i="46"/>
  <c r="BQ24" i="46"/>
  <c r="BM24" i="46"/>
  <c r="AI24" i="46"/>
  <c r="AE24" i="46"/>
  <c r="B24" i="46"/>
  <c r="CU23" i="46"/>
  <c r="BQ23" i="46"/>
  <c r="BM23" i="46"/>
  <c r="AI23" i="46"/>
  <c r="AE23" i="46"/>
  <c r="B23" i="46"/>
  <c r="CU22" i="46"/>
  <c r="BQ22" i="46"/>
  <c r="BM22" i="46"/>
  <c r="AI22" i="46"/>
  <c r="AE22" i="46"/>
  <c r="B22" i="46"/>
  <c r="CU21" i="46"/>
  <c r="BQ21" i="46"/>
  <c r="BM21" i="46"/>
  <c r="AI21" i="46"/>
  <c r="AE21" i="46"/>
  <c r="B21" i="46"/>
  <c r="CU20" i="46"/>
  <c r="BQ20" i="46"/>
  <c r="BM20" i="46"/>
  <c r="AI20" i="46"/>
  <c r="AE20" i="46"/>
  <c r="B20" i="46"/>
  <c r="CU19" i="46"/>
  <c r="BQ19" i="46"/>
  <c r="BM19" i="46"/>
  <c r="AI19" i="46"/>
  <c r="AE19" i="46"/>
  <c r="B19" i="46"/>
  <c r="CU18" i="46"/>
  <c r="BQ18" i="46"/>
  <c r="BM18" i="46"/>
  <c r="AI18" i="46"/>
  <c r="AE18" i="46"/>
  <c r="B18" i="46"/>
  <c r="CU17" i="46"/>
  <c r="BQ17" i="46"/>
  <c r="BM17" i="46"/>
  <c r="AI17" i="46"/>
  <c r="AE17" i="46"/>
  <c r="B17" i="46"/>
  <c r="CU16" i="46"/>
  <c r="BQ16" i="46"/>
  <c r="BM16" i="46"/>
  <c r="AI16" i="46"/>
  <c r="AE16" i="46"/>
  <c r="B16" i="46"/>
  <c r="CU15" i="46"/>
  <c r="BQ15" i="46"/>
  <c r="BM15" i="46"/>
  <c r="AI15" i="46"/>
  <c r="AE15" i="46"/>
  <c r="B15" i="46"/>
  <c r="CU14" i="46"/>
  <c r="BQ14" i="46"/>
  <c r="BM14" i="46"/>
  <c r="AI14" i="46"/>
  <c r="AE14" i="46"/>
  <c r="B14" i="46"/>
  <c r="CU13" i="46"/>
  <c r="BQ13" i="46"/>
  <c r="BM13" i="46"/>
  <c r="AI13" i="46"/>
  <c r="AE13" i="46"/>
  <c r="B13" i="46"/>
  <c r="CU12" i="46"/>
  <c r="BQ12" i="46"/>
  <c r="BM12" i="46"/>
  <c r="AI12" i="46"/>
  <c r="AE12" i="46"/>
  <c r="B12" i="46"/>
  <c r="CU11" i="46"/>
  <c r="BQ11" i="46"/>
  <c r="BM11" i="46"/>
  <c r="AI11" i="46"/>
  <c r="AE11" i="46"/>
  <c r="B11" i="46"/>
  <c r="CU10" i="46"/>
  <c r="BQ10" i="46"/>
  <c r="BM10" i="46"/>
  <c r="AI10" i="46"/>
  <c r="AE10" i="46"/>
  <c r="B10" i="46"/>
  <c r="CU9" i="46"/>
  <c r="BQ9" i="46"/>
  <c r="BM9" i="46"/>
  <c r="AI9" i="46"/>
  <c r="AE9" i="46"/>
  <c r="B9" i="46"/>
  <c r="CU8" i="46"/>
  <c r="BQ8" i="46"/>
  <c r="BM8" i="46"/>
  <c r="AI8" i="46"/>
  <c r="AE8" i="46"/>
  <c r="B8" i="46"/>
  <c r="CU7" i="46"/>
  <c r="BQ7" i="46"/>
  <c r="BM7" i="46"/>
  <c r="AI7" i="46"/>
  <c r="AE7" i="46"/>
  <c r="B7" i="46"/>
  <c r="CU6" i="46"/>
  <c r="BQ6" i="46"/>
  <c r="BM6" i="46"/>
  <c r="AI6" i="46"/>
  <c r="AE6" i="46"/>
  <c r="B6" i="46"/>
  <c r="CU5" i="46"/>
  <c r="BQ5" i="46"/>
  <c r="BM5" i="46"/>
  <c r="AI5" i="46"/>
  <c r="AE5" i="46"/>
  <c r="B5" i="46"/>
  <c r="O55" i="45"/>
  <c r="N55" i="45"/>
  <c r="M55" i="45"/>
  <c r="L55" i="45"/>
  <c r="K55" i="45"/>
  <c r="J55" i="45"/>
  <c r="I55" i="45"/>
  <c r="H55" i="45"/>
  <c r="G55" i="45"/>
  <c r="F55" i="45"/>
  <c r="C55" i="45"/>
  <c r="O54" i="45"/>
  <c r="N54" i="45"/>
  <c r="M54" i="45"/>
  <c r="L54" i="45"/>
  <c r="K54" i="45"/>
  <c r="J54" i="45"/>
  <c r="I54" i="45"/>
  <c r="H54" i="45"/>
  <c r="G54" i="45"/>
  <c r="F54" i="45"/>
  <c r="C54" i="45"/>
  <c r="O53" i="45"/>
  <c r="N53" i="45"/>
  <c r="M53" i="45"/>
  <c r="L53" i="45"/>
  <c r="K53" i="45"/>
  <c r="J53" i="45"/>
  <c r="I53" i="45"/>
  <c r="H53" i="45"/>
  <c r="G53" i="45"/>
  <c r="F53" i="45"/>
  <c r="C53" i="45"/>
  <c r="O52" i="45"/>
  <c r="N52" i="45"/>
  <c r="M52" i="45"/>
  <c r="L52" i="45"/>
  <c r="K52" i="45"/>
  <c r="J52" i="45"/>
  <c r="I52" i="45"/>
  <c r="H52" i="45"/>
  <c r="G52" i="45"/>
  <c r="F52" i="45"/>
  <c r="C52" i="45"/>
  <c r="Q51" i="45"/>
  <c r="O51" i="45"/>
  <c r="N51" i="45"/>
  <c r="M51" i="45"/>
  <c r="L51" i="45"/>
  <c r="K51" i="45"/>
  <c r="J51" i="45"/>
  <c r="I51" i="45"/>
  <c r="H51" i="45"/>
  <c r="G51" i="45"/>
  <c r="F51" i="45"/>
  <c r="C51" i="45"/>
  <c r="O50" i="45"/>
  <c r="N50" i="45"/>
  <c r="M50" i="45"/>
  <c r="L50" i="45"/>
  <c r="K50" i="45"/>
  <c r="J50" i="45"/>
  <c r="I50" i="45"/>
  <c r="H50" i="45"/>
  <c r="G50" i="45"/>
  <c r="F50" i="45"/>
  <c r="C50" i="45"/>
  <c r="O49" i="45"/>
  <c r="N49" i="45"/>
  <c r="M49" i="45"/>
  <c r="L49" i="45"/>
  <c r="K49" i="45"/>
  <c r="J49" i="45"/>
  <c r="I49" i="45"/>
  <c r="H49" i="45"/>
  <c r="G49" i="45"/>
  <c r="F49" i="45"/>
  <c r="C49" i="45"/>
  <c r="O48" i="45"/>
  <c r="N48" i="45"/>
  <c r="M48" i="45"/>
  <c r="L48" i="45"/>
  <c r="K48" i="45"/>
  <c r="J48" i="45"/>
  <c r="P48" i="45" s="1"/>
  <c r="I48" i="45"/>
  <c r="H48" i="45"/>
  <c r="G48" i="45"/>
  <c r="F48" i="45"/>
  <c r="C48" i="45"/>
  <c r="O47" i="45"/>
  <c r="N47" i="45"/>
  <c r="M47" i="45"/>
  <c r="Q47" i="45" s="1"/>
  <c r="L47" i="45"/>
  <c r="K47" i="45"/>
  <c r="J47" i="45"/>
  <c r="I47" i="45"/>
  <c r="H47" i="45"/>
  <c r="G47" i="45"/>
  <c r="F47" i="45"/>
  <c r="C47" i="45"/>
  <c r="O46" i="45"/>
  <c r="N46" i="45"/>
  <c r="M46" i="45"/>
  <c r="L46" i="45"/>
  <c r="K46" i="45"/>
  <c r="J46" i="45"/>
  <c r="P46" i="45" s="1"/>
  <c r="I46" i="45"/>
  <c r="H46" i="45"/>
  <c r="G46" i="45"/>
  <c r="F46" i="45"/>
  <c r="C46" i="45"/>
  <c r="O45" i="45"/>
  <c r="N45" i="45"/>
  <c r="M45" i="45"/>
  <c r="L45" i="45"/>
  <c r="K45" i="45"/>
  <c r="J45" i="45"/>
  <c r="I45" i="45"/>
  <c r="H45" i="45"/>
  <c r="G45" i="45"/>
  <c r="F45" i="45"/>
  <c r="C45" i="45"/>
  <c r="O44" i="45"/>
  <c r="N44" i="45"/>
  <c r="M44" i="45"/>
  <c r="L44" i="45"/>
  <c r="K44" i="45"/>
  <c r="J44" i="45"/>
  <c r="I44" i="45"/>
  <c r="H44" i="45"/>
  <c r="G44" i="45"/>
  <c r="F44" i="45"/>
  <c r="C44" i="45"/>
  <c r="O43" i="45"/>
  <c r="N43" i="45"/>
  <c r="M43" i="45"/>
  <c r="L43" i="45"/>
  <c r="K43" i="45"/>
  <c r="J43" i="45"/>
  <c r="I43" i="45"/>
  <c r="H43" i="45"/>
  <c r="G43" i="45"/>
  <c r="F43" i="45"/>
  <c r="C43" i="45"/>
  <c r="O42" i="45"/>
  <c r="N42" i="45"/>
  <c r="M42" i="45"/>
  <c r="L42" i="45"/>
  <c r="K42" i="45"/>
  <c r="J42" i="45"/>
  <c r="I42" i="45"/>
  <c r="H42" i="45"/>
  <c r="G42" i="45"/>
  <c r="F42" i="45"/>
  <c r="C42" i="45"/>
  <c r="O41" i="45"/>
  <c r="N41" i="45"/>
  <c r="M41" i="45"/>
  <c r="L41" i="45"/>
  <c r="K41" i="45"/>
  <c r="J41" i="45"/>
  <c r="I41" i="45"/>
  <c r="H41" i="45"/>
  <c r="G41" i="45"/>
  <c r="F41" i="45"/>
  <c r="C41" i="45"/>
  <c r="O40" i="45"/>
  <c r="N40" i="45"/>
  <c r="M40" i="45"/>
  <c r="L40" i="45"/>
  <c r="K40" i="45"/>
  <c r="J40" i="45"/>
  <c r="P40" i="45" s="1"/>
  <c r="I40" i="45"/>
  <c r="H40" i="45"/>
  <c r="G40" i="45"/>
  <c r="F40" i="45"/>
  <c r="C40" i="45"/>
  <c r="O39" i="45"/>
  <c r="N39" i="45"/>
  <c r="M39" i="45"/>
  <c r="L39" i="45"/>
  <c r="K39" i="45"/>
  <c r="J39" i="45"/>
  <c r="I39" i="45"/>
  <c r="H39" i="45"/>
  <c r="G39" i="45"/>
  <c r="F39" i="45"/>
  <c r="C39" i="45"/>
  <c r="O38" i="45"/>
  <c r="N38" i="45"/>
  <c r="M38" i="45"/>
  <c r="L38" i="45"/>
  <c r="K38" i="45"/>
  <c r="J38" i="45"/>
  <c r="I38" i="45"/>
  <c r="H38" i="45"/>
  <c r="G38" i="45"/>
  <c r="F38" i="45"/>
  <c r="C38" i="45"/>
  <c r="O37" i="45"/>
  <c r="N37" i="45"/>
  <c r="M37" i="45"/>
  <c r="L37" i="45"/>
  <c r="K37" i="45"/>
  <c r="J37" i="45"/>
  <c r="I37" i="45"/>
  <c r="H37" i="45"/>
  <c r="G37" i="45"/>
  <c r="F37" i="45"/>
  <c r="C37" i="45"/>
  <c r="O36" i="45"/>
  <c r="N36" i="45"/>
  <c r="M36" i="45"/>
  <c r="L36" i="45"/>
  <c r="K36" i="45"/>
  <c r="J36" i="45"/>
  <c r="I36" i="45"/>
  <c r="H36" i="45"/>
  <c r="G36" i="45"/>
  <c r="F36" i="45"/>
  <c r="C36" i="45"/>
  <c r="O35" i="45"/>
  <c r="N35" i="45"/>
  <c r="M35" i="45"/>
  <c r="L35" i="45"/>
  <c r="K35" i="45"/>
  <c r="J35" i="45"/>
  <c r="I35" i="45"/>
  <c r="H35" i="45"/>
  <c r="G35" i="45"/>
  <c r="F35" i="45"/>
  <c r="C35" i="45"/>
  <c r="O34" i="45"/>
  <c r="N34" i="45"/>
  <c r="M34" i="45"/>
  <c r="L34" i="45"/>
  <c r="K34" i="45"/>
  <c r="J34" i="45"/>
  <c r="I34" i="45"/>
  <c r="H34" i="45"/>
  <c r="G34" i="45"/>
  <c r="F34" i="45"/>
  <c r="C34" i="45"/>
  <c r="O33" i="45"/>
  <c r="N33" i="45"/>
  <c r="M33" i="45"/>
  <c r="L33" i="45"/>
  <c r="K33" i="45"/>
  <c r="J33" i="45"/>
  <c r="I33" i="45"/>
  <c r="H33" i="45"/>
  <c r="G33" i="45"/>
  <c r="F33" i="45"/>
  <c r="C33" i="45"/>
  <c r="O32" i="45"/>
  <c r="N32" i="45"/>
  <c r="M32" i="45"/>
  <c r="L32" i="45"/>
  <c r="K32" i="45"/>
  <c r="J32" i="45"/>
  <c r="I32" i="45"/>
  <c r="H32" i="45"/>
  <c r="G32" i="45"/>
  <c r="F32" i="45"/>
  <c r="C32" i="45"/>
  <c r="O31" i="45"/>
  <c r="N31" i="45"/>
  <c r="M31" i="45"/>
  <c r="L31" i="45"/>
  <c r="K31" i="45"/>
  <c r="J31" i="45"/>
  <c r="I31" i="45"/>
  <c r="H31" i="45"/>
  <c r="G31" i="45"/>
  <c r="F31" i="45"/>
  <c r="C31" i="45"/>
  <c r="O30" i="45"/>
  <c r="N30" i="45"/>
  <c r="M30" i="45"/>
  <c r="L30" i="45"/>
  <c r="K30" i="45"/>
  <c r="J30" i="45"/>
  <c r="I30" i="45"/>
  <c r="H30" i="45"/>
  <c r="G30" i="45"/>
  <c r="F30" i="45"/>
  <c r="C30" i="45"/>
  <c r="O29" i="45"/>
  <c r="N29" i="45"/>
  <c r="M29" i="45"/>
  <c r="L29" i="45"/>
  <c r="K29" i="45"/>
  <c r="J29" i="45"/>
  <c r="I29" i="45"/>
  <c r="H29" i="45"/>
  <c r="G29" i="45"/>
  <c r="F29" i="45"/>
  <c r="C29" i="45"/>
  <c r="O28" i="45"/>
  <c r="N28" i="45"/>
  <c r="M28" i="45"/>
  <c r="L28" i="45"/>
  <c r="K28" i="45"/>
  <c r="J28" i="45"/>
  <c r="I28" i="45"/>
  <c r="H28" i="45"/>
  <c r="G28" i="45"/>
  <c r="F28" i="45"/>
  <c r="C28" i="45"/>
  <c r="O27" i="45"/>
  <c r="N27" i="45"/>
  <c r="M27" i="45"/>
  <c r="L27" i="45"/>
  <c r="K27" i="45"/>
  <c r="J27" i="45"/>
  <c r="I27" i="45"/>
  <c r="H27" i="45"/>
  <c r="G27" i="45"/>
  <c r="F27" i="45"/>
  <c r="C27" i="45"/>
  <c r="O26" i="45"/>
  <c r="N26" i="45"/>
  <c r="M26" i="45"/>
  <c r="L26" i="45"/>
  <c r="K26" i="45"/>
  <c r="J26" i="45"/>
  <c r="I26" i="45"/>
  <c r="H26" i="45"/>
  <c r="G26" i="45"/>
  <c r="F26" i="45"/>
  <c r="C26" i="45"/>
  <c r="O25" i="45"/>
  <c r="N25" i="45"/>
  <c r="M25" i="45"/>
  <c r="L25" i="45"/>
  <c r="K25" i="45"/>
  <c r="J25" i="45"/>
  <c r="I25" i="45"/>
  <c r="H25" i="45"/>
  <c r="G25" i="45"/>
  <c r="F25" i="45"/>
  <c r="C25" i="45"/>
  <c r="O24" i="45"/>
  <c r="N24" i="45"/>
  <c r="M24" i="45"/>
  <c r="L24" i="45"/>
  <c r="K24" i="45"/>
  <c r="J24" i="45"/>
  <c r="I24" i="45"/>
  <c r="H24" i="45"/>
  <c r="G24" i="45"/>
  <c r="F24" i="45"/>
  <c r="C24" i="45"/>
  <c r="O23" i="45"/>
  <c r="N23" i="45"/>
  <c r="M23" i="45"/>
  <c r="L23" i="45"/>
  <c r="K23" i="45"/>
  <c r="J23" i="45"/>
  <c r="I23" i="45"/>
  <c r="H23" i="45"/>
  <c r="G23" i="45"/>
  <c r="F23" i="45"/>
  <c r="C23" i="45"/>
  <c r="Q22" i="45"/>
  <c r="O22" i="45"/>
  <c r="N22" i="45"/>
  <c r="M22" i="45"/>
  <c r="L22" i="45"/>
  <c r="K22" i="45"/>
  <c r="J22" i="45"/>
  <c r="I22" i="45"/>
  <c r="H22" i="45"/>
  <c r="G22" i="45"/>
  <c r="F22" i="45"/>
  <c r="C22" i="45"/>
  <c r="O21" i="45"/>
  <c r="N21" i="45"/>
  <c r="M21" i="45"/>
  <c r="L21" i="45"/>
  <c r="K21" i="45"/>
  <c r="J21" i="45"/>
  <c r="I21" i="45"/>
  <c r="H21" i="45"/>
  <c r="G21" i="45"/>
  <c r="F21" i="45"/>
  <c r="C21" i="45"/>
  <c r="O20" i="45"/>
  <c r="N20" i="45"/>
  <c r="M20" i="45"/>
  <c r="L20" i="45"/>
  <c r="K20" i="45"/>
  <c r="J20" i="45"/>
  <c r="I20" i="45"/>
  <c r="H20" i="45"/>
  <c r="G20" i="45"/>
  <c r="F20" i="45"/>
  <c r="C20" i="45"/>
  <c r="O19" i="45"/>
  <c r="N19" i="45"/>
  <c r="M19" i="45"/>
  <c r="L19" i="45"/>
  <c r="K19" i="45"/>
  <c r="Q19" i="45" s="1"/>
  <c r="J19" i="45"/>
  <c r="I19" i="45"/>
  <c r="H19" i="45"/>
  <c r="G19" i="45"/>
  <c r="F19" i="45"/>
  <c r="C19" i="45"/>
  <c r="O18" i="45"/>
  <c r="N18" i="45"/>
  <c r="M18" i="45"/>
  <c r="L18" i="45"/>
  <c r="K18" i="45"/>
  <c r="J18" i="45"/>
  <c r="I18" i="45"/>
  <c r="H18" i="45"/>
  <c r="G18" i="45"/>
  <c r="F18" i="45"/>
  <c r="C18" i="45"/>
  <c r="O17" i="45"/>
  <c r="N17" i="45"/>
  <c r="M17" i="45"/>
  <c r="L17" i="45"/>
  <c r="K17" i="45"/>
  <c r="J17" i="45"/>
  <c r="P17" i="45" s="1"/>
  <c r="I17" i="45"/>
  <c r="H17" i="45"/>
  <c r="G17" i="45"/>
  <c r="F17" i="45"/>
  <c r="C17" i="45"/>
  <c r="O16" i="45"/>
  <c r="N16" i="45"/>
  <c r="M16" i="45"/>
  <c r="L16" i="45"/>
  <c r="K16" i="45"/>
  <c r="J16" i="45"/>
  <c r="I16" i="45"/>
  <c r="H16" i="45"/>
  <c r="G16" i="45"/>
  <c r="F16" i="45"/>
  <c r="C16" i="45"/>
  <c r="BQ44" i="44"/>
  <c r="AI44" i="44"/>
  <c r="B44" i="44"/>
  <c r="BQ43" i="44"/>
  <c r="AI43" i="44"/>
  <c r="B43" i="44"/>
  <c r="BQ42" i="44"/>
  <c r="AI42" i="44"/>
  <c r="B42" i="44"/>
  <c r="CU41" i="44"/>
  <c r="BQ41" i="44"/>
  <c r="BM41" i="44"/>
  <c r="AI41" i="44"/>
  <c r="AE41" i="44"/>
  <c r="B41" i="44"/>
  <c r="CU40" i="44"/>
  <c r="BQ40" i="44"/>
  <c r="BM40" i="44"/>
  <c r="AI40" i="44"/>
  <c r="AE40" i="44"/>
  <c r="B40" i="44"/>
  <c r="CU39" i="44"/>
  <c r="BQ39" i="44"/>
  <c r="BM39" i="44"/>
  <c r="AI39" i="44"/>
  <c r="AE39" i="44"/>
  <c r="B39" i="44"/>
  <c r="CU38" i="44"/>
  <c r="BQ38" i="44"/>
  <c r="BM38" i="44"/>
  <c r="AI38" i="44"/>
  <c r="AE38" i="44"/>
  <c r="B38" i="44"/>
  <c r="CU37" i="44"/>
  <c r="BQ37" i="44"/>
  <c r="BM37" i="44"/>
  <c r="AI37" i="44"/>
  <c r="AE37" i="44"/>
  <c r="B37" i="44"/>
  <c r="CU36" i="44"/>
  <c r="BQ36" i="44"/>
  <c r="BM36" i="44"/>
  <c r="AI36" i="44"/>
  <c r="AE36" i="44"/>
  <c r="B36" i="44"/>
  <c r="CU35" i="44"/>
  <c r="BQ35" i="44"/>
  <c r="BM35" i="44"/>
  <c r="AI35" i="44"/>
  <c r="AE35" i="44"/>
  <c r="B35" i="44"/>
  <c r="CU34" i="44"/>
  <c r="BQ34" i="44"/>
  <c r="BM34" i="44"/>
  <c r="AI34" i="44"/>
  <c r="AE34" i="44"/>
  <c r="B34" i="44"/>
  <c r="CU33" i="44"/>
  <c r="BQ33" i="44"/>
  <c r="BM33" i="44"/>
  <c r="AI33" i="44"/>
  <c r="AE33" i="44"/>
  <c r="B33" i="44"/>
  <c r="CU32" i="44"/>
  <c r="BQ32" i="44"/>
  <c r="BM32" i="44"/>
  <c r="AI32" i="44"/>
  <c r="AE32" i="44"/>
  <c r="B32" i="44"/>
  <c r="CU31" i="44"/>
  <c r="BQ31" i="44"/>
  <c r="BM31" i="44"/>
  <c r="AI31" i="44"/>
  <c r="AE31" i="44"/>
  <c r="B31" i="44"/>
  <c r="CU30" i="44"/>
  <c r="BQ30" i="44"/>
  <c r="BM30" i="44"/>
  <c r="AI30" i="44"/>
  <c r="AE30" i="44"/>
  <c r="B30" i="44"/>
  <c r="CU29" i="44"/>
  <c r="BQ29" i="44"/>
  <c r="BM29" i="44"/>
  <c r="AI29" i="44"/>
  <c r="AE29" i="44"/>
  <c r="B29" i="44"/>
  <c r="CU28" i="44"/>
  <c r="BQ28" i="44"/>
  <c r="BM28" i="44"/>
  <c r="AI28" i="44"/>
  <c r="AE28" i="44"/>
  <c r="B28" i="44"/>
  <c r="CU27" i="44"/>
  <c r="BQ27" i="44"/>
  <c r="BM27" i="44"/>
  <c r="AI27" i="44"/>
  <c r="AE27" i="44"/>
  <c r="B27" i="44"/>
  <c r="CU26" i="44"/>
  <c r="BQ26" i="44"/>
  <c r="BM26" i="44"/>
  <c r="AI26" i="44"/>
  <c r="AE26" i="44"/>
  <c r="B26" i="44"/>
  <c r="CU25" i="44"/>
  <c r="BQ25" i="44"/>
  <c r="BM25" i="44"/>
  <c r="AI25" i="44"/>
  <c r="AE25" i="44"/>
  <c r="B25" i="44"/>
  <c r="CU24" i="44"/>
  <c r="BQ24" i="44"/>
  <c r="BM24" i="44"/>
  <c r="AI24" i="44"/>
  <c r="AE24" i="44"/>
  <c r="B24" i="44"/>
  <c r="CU23" i="44"/>
  <c r="BQ23" i="44"/>
  <c r="BM23" i="44"/>
  <c r="AI23" i="44"/>
  <c r="AE23" i="44"/>
  <c r="B23" i="44"/>
  <c r="CU22" i="44"/>
  <c r="BQ22" i="44"/>
  <c r="BM22" i="44"/>
  <c r="AI22" i="44"/>
  <c r="AE22" i="44"/>
  <c r="B22" i="44"/>
  <c r="CU21" i="44"/>
  <c r="BQ21" i="44"/>
  <c r="BM21" i="44"/>
  <c r="AI21" i="44"/>
  <c r="AE21" i="44"/>
  <c r="B21" i="44"/>
  <c r="CU20" i="44"/>
  <c r="BQ20" i="44"/>
  <c r="BM20" i="44"/>
  <c r="AI20" i="44"/>
  <c r="AE20" i="44"/>
  <c r="B20" i="44"/>
  <c r="CU19" i="44"/>
  <c r="BQ19" i="44"/>
  <c r="BM19" i="44"/>
  <c r="AI19" i="44"/>
  <c r="AE19" i="44"/>
  <c r="B19" i="44"/>
  <c r="CU18" i="44"/>
  <c r="BQ18" i="44"/>
  <c r="BM18" i="44"/>
  <c r="AI18" i="44"/>
  <c r="AE18" i="44"/>
  <c r="B18" i="44"/>
  <c r="CU17" i="44"/>
  <c r="BQ17" i="44"/>
  <c r="BM17" i="44"/>
  <c r="AI17" i="44"/>
  <c r="AE17" i="44"/>
  <c r="B17" i="44"/>
  <c r="CU16" i="44"/>
  <c r="BQ16" i="44"/>
  <c r="BM16" i="44"/>
  <c r="AI16" i="44"/>
  <c r="AE16" i="44"/>
  <c r="B16" i="44"/>
  <c r="CU15" i="44"/>
  <c r="BQ15" i="44"/>
  <c r="BM15" i="44"/>
  <c r="AI15" i="44"/>
  <c r="AE15" i="44"/>
  <c r="B15" i="44"/>
  <c r="CU14" i="44"/>
  <c r="BQ14" i="44"/>
  <c r="BM14" i="44"/>
  <c r="AI14" i="44"/>
  <c r="AE14" i="44"/>
  <c r="B14" i="44"/>
  <c r="CU13" i="44"/>
  <c r="BQ13" i="44"/>
  <c r="BM13" i="44"/>
  <c r="AI13" i="44"/>
  <c r="AE13" i="44"/>
  <c r="B13" i="44"/>
  <c r="CU12" i="44"/>
  <c r="BQ12" i="44"/>
  <c r="BM12" i="44"/>
  <c r="AI12" i="44"/>
  <c r="AE12" i="44"/>
  <c r="B12" i="44"/>
  <c r="CU11" i="44"/>
  <c r="BQ11" i="44"/>
  <c r="BM11" i="44"/>
  <c r="AI11" i="44"/>
  <c r="AE11" i="44"/>
  <c r="B11" i="44"/>
  <c r="CU10" i="44"/>
  <c r="BQ10" i="44"/>
  <c r="BM10" i="44"/>
  <c r="AI10" i="44"/>
  <c r="AE10" i="44"/>
  <c r="B10" i="44"/>
  <c r="CU9" i="44"/>
  <c r="BQ9" i="44"/>
  <c r="BM9" i="44"/>
  <c r="AI9" i="44"/>
  <c r="AE9" i="44"/>
  <c r="B9" i="44"/>
  <c r="CU8" i="44"/>
  <c r="BQ8" i="44"/>
  <c r="BM8" i="44"/>
  <c r="AI8" i="44"/>
  <c r="AE8" i="44"/>
  <c r="B8" i="44"/>
  <c r="CU7" i="44"/>
  <c r="BQ7" i="44"/>
  <c r="BM7" i="44"/>
  <c r="AI7" i="44"/>
  <c r="AE7" i="44"/>
  <c r="B7" i="44"/>
  <c r="CU6" i="44"/>
  <c r="BQ6" i="44"/>
  <c r="BM6" i="44"/>
  <c r="AI6" i="44"/>
  <c r="AE6" i="44"/>
  <c r="B6" i="44"/>
  <c r="CU5" i="44"/>
  <c r="BQ5" i="44"/>
  <c r="BM5" i="44"/>
  <c r="AI5" i="44"/>
  <c r="AE5" i="44"/>
  <c r="B5" i="44"/>
  <c r="CU6" i="20"/>
  <c r="CU7" i="20"/>
  <c r="CU8" i="20"/>
  <c r="CU9" i="20"/>
  <c r="CU10" i="20"/>
  <c r="CU11" i="20"/>
  <c r="CU12" i="20"/>
  <c r="CU13" i="20"/>
  <c r="CU14" i="20"/>
  <c r="CU15" i="20"/>
  <c r="CU16" i="20"/>
  <c r="CU17" i="20"/>
  <c r="CU18" i="20"/>
  <c r="CU19" i="20"/>
  <c r="CU20" i="20"/>
  <c r="H31" i="21" s="1"/>
  <c r="CU21" i="20"/>
  <c r="CU22" i="20"/>
  <c r="CU23" i="20"/>
  <c r="CU24" i="20"/>
  <c r="CU25" i="20"/>
  <c r="CU26" i="20"/>
  <c r="CU27" i="20"/>
  <c r="CU28" i="20"/>
  <c r="CU29" i="20"/>
  <c r="CU30" i="20"/>
  <c r="CU31" i="20"/>
  <c r="CU32" i="20"/>
  <c r="CU33" i="20"/>
  <c r="CU34" i="20"/>
  <c r="CU35" i="20"/>
  <c r="CU36" i="20"/>
  <c r="CU37" i="20"/>
  <c r="CU38" i="20"/>
  <c r="CU39" i="20"/>
  <c r="CU5" i="20"/>
  <c r="BM6" i="20"/>
  <c r="BM7" i="20"/>
  <c r="BM8" i="20"/>
  <c r="BM9" i="20"/>
  <c r="BM10" i="20"/>
  <c r="BM11" i="20"/>
  <c r="BM12" i="20"/>
  <c r="BM13" i="20"/>
  <c r="BM14" i="20"/>
  <c r="BM15" i="20"/>
  <c r="BM16" i="20"/>
  <c r="BM17" i="20"/>
  <c r="BM18" i="20"/>
  <c r="BM19" i="20"/>
  <c r="BM20" i="20"/>
  <c r="BM21" i="20"/>
  <c r="BM22" i="20"/>
  <c r="BM23" i="20"/>
  <c r="BM24" i="20"/>
  <c r="BM25" i="20"/>
  <c r="BM26" i="20"/>
  <c r="BM27" i="20"/>
  <c r="G38" i="21" s="1"/>
  <c r="BM28" i="20"/>
  <c r="BM29" i="20"/>
  <c r="BM30" i="20"/>
  <c r="BM31" i="20"/>
  <c r="BM32" i="20"/>
  <c r="BM33" i="20"/>
  <c r="BM34" i="20"/>
  <c r="BM35" i="20"/>
  <c r="BM36" i="20"/>
  <c r="BM37" i="20"/>
  <c r="BM38" i="20"/>
  <c r="BM39" i="20"/>
  <c r="BM40" i="20"/>
  <c r="BM41" i="20"/>
  <c r="BM5" i="20"/>
  <c r="AE6" i="20"/>
  <c r="AE7" i="20"/>
  <c r="AE8" i="20"/>
  <c r="AE9" i="20"/>
  <c r="AE10" i="20"/>
  <c r="AE11" i="20"/>
  <c r="AE12" i="20"/>
  <c r="AE13" i="20"/>
  <c r="AE14" i="20"/>
  <c r="AE15" i="20"/>
  <c r="AE16" i="20"/>
  <c r="AE17" i="20"/>
  <c r="AE18" i="20"/>
  <c r="AE19" i="20"/>
  <c r="AE20" i="20"/>
  <c r="AE21" i="20"/>
  <c r="AE22" i="20"/>
  <c r="AE23" i="20"/>
  <c r="AE24" i="20"/>
  <c r="AE25" i="20"/>
  <c r="AE26" i="20"/>
  <c r="AE27" i="20"/>
  <c r="AE28" i="20"/>
  <c r="AE29" i="20"/>
  <c r="AE30" i="20"/>
  <c r="AE31" i="20"/>
  <c r="AE32" i="20"/>
  <c r="AE33" i="20"/>
  <c r="AE34" i="20"/>
  <c r="AE35" i="20"/>
  <c r="AE36" i="20"/>
  <c r="AE37" i="20"/>
  <c r="AE38" i="20"/>
  <c r="AE39" i="20"/>
  <c r="AE40" i="20"/>
  <c r="AE41" i="20"/>
  <c r="O55" i="21"/>
  <c r="N55" i="21"/>
  <c r="M55" i="21"/>
  <c r="L55" i="21"/>
  <c r="K55" i="21"/>
  <c r="J55" i="21"/>
  <c r="I55" i="21"/>
  <c r="H55" i="21"/>
  <c r="G55" i="21"/>
  <c r="F55" i="21"/>
  <c r="C55" i="21"/>
  <c r="O54" i="21"/>
  <c r="N54" i="21"/>
  <c r="M54" i="21"/>
  <c r="L54" i="21"/>
  <c r="K54" i="21"/>
  <c r="J54" i="21"/>
  <c r="I54" i="21"/>
  <c r="H54" i="21"/>
  <c r="G54" i="21"/>
  <c r="F54" i="21"/>
  <c r="C54" i="21"/>
  <c r="O53" i="21"/>
  <c r="N53" i="21"/>
  <c r="M53" i="21"/>
  <c r="L53" i="21"/>
  <c r="K53" i="21"/>
  <c r="J53" i="21"/>
  <c r="I53" i="21"/>
  <c r="H53" i="21"/>
  <c r="G53" i="21"/>
  <c r="F53" i="21"/>
  <c r="C53" i="21"/>
  <c r="O52" i="21"/>
  <c r="N52" i="21"/>
  <c r="M52" i="21"/>
  <c r="L52" i="21"/>
  <c r="K52" i="21"/>
  <c r="J52" i="21"/>
  <c r="I52" i="21"/>
  <c r="H52" i="21"/>
  <c r="G52" i="21"/>
  <c r="F52" i="21"/>
  <c r="C52" i="21"/>
  <c r="O51" i="21"/>
  <c r="N51" i="21"/>
  <c r="M51" i="21"/>
  <c r="L51" i="21"/>
  <c r="K51" i="21"/>
  <c r="J51" i="21"/>
  <c r="I51" i="21"/>
  <c r="H51" i="21"/>
  <c r="G51" i="21"/>
  <c r="F51" i="21"/>
  <c r="C51" i="21"/>
  <c r="O50" i="21"/>
  <c r="N50" i="21"/>
  <c r="M50" i="21"/>
  <c r="L50" i="21"/>
  <c r="K50" i="21"/>
  <c r="J50" i="21"/>
  <c r="I50" i="21"/>
  <c r="H50" i="21"/>
  <c r="G50" i="21"/>
  <c r="F50" i="21"/>
  <c r="C50" i="21"/>
  <c r="O49" i="21"/>
  <c r="N49" i="21"/>
  <c r="M49" i="21"/>
  <c r="L49" i="21"/>
  <c r="K49" i="21"/>
  <c r="J49" i="21"/>
  <c r="I49" i="21"/>
  <c r="H49" i="21"/>
  <c r="G49" i="21"/>
  <c r="F49" i="21"/>
  <c r="C49" i="21"/>
  <c r="O48" i="21"/>
  <c r="N48" i="21"/>
  <c r="M48" i="21"/>
  <c r="L48" i="21"/>
  <c r="K48" i="21"/>
  <c r="J48" i="21"/>
  <c r="I48" i="21"/>
  <c r="H48" i="21"/>
  <c r="G48" i="21"/>
  <c r="F48" i="21"/>
  <c r="C48" i="21"/>
  <c r="O47" i="21"/>
  <c r="N47" i="21"/>
  <c r="M47" i="21"/>
  <c r="L47" i="21"/>
  <c r="K47" i="21"/>
  <c r="J47" i="21"/>
  <c r="I47" i="21"/>
  <c r="H47" i="21"/>
  <c r="G47" i="21"/>
  <c r="F47" i="21"/>
  <c r="C47" i="21"/>
  <c r="O46" i="21"/>
  <c r="N46" i="21"/>
  <c r="M46" i="21"/>
  <c r="L46" i="21"/>
  <c r="K46" i="21"/>
  <c r="J46" i="21"/>
  <c r="I46" i="21"/>
  <c r="H46" i="21"/>
  <c r="G46" i="21"/>
  <c r="F46" i="21"/>
  <c r="C46" i="21"/>
  <c r="O45" i="21"/>
  <c r="N45" i="21"/>
  <c r="M45" i="21"/>
  <c r="L45" i="21"/>
  <c r="K45" i="21"/>
  <c r="J45" i="21"/>
  <c r="I45" i="21"/>
  <c r="H45" i="21"/>
  <c r="G45" i="21"/>
  <c r="F45" i="21"/>
  <c r="C45" i="21"/>
  <c r="O44" i="21"/>
  <c r="N44" i="21"/>
  <c r="M44" i="21"/>
  <c r="L44" i="21"/>
  <c r="K44" i="21"/>
  <c r="J44" i="21"/>
  <c r="I44" i="21"/>
  <c r="H44" i="21"/>
  <c r="G44" i="21"/>
  <c r="F44" i="21"/>
  <c r="C44" i="21"/>
  <c r="O43" i="21"/>
  <c r="N43" i="21"/>
  <c r="M43" i="21"/>
  <c r="L43" i="21"/>
  <c r="K43" i="21"/>
  <c r="J43" i="21"/>
  <c r="I43" i="21"/>
  <c r="H43" i="21"/>
  <c r="G43" i="21"/>
  <c r="F43" i="21"/>
  <c r="C43" i="21"/>
  <c r="O42" i="21"/>
  <c r="N42" i="21"/>
  <c r="M42" i="21"/>
  <c r="L42" i="21"/>
  <c r="K42" i="21"/>
  <c r="J42" i="21"/>
  <c r="I42" i="21"/>
  <c r="H42" i="21"/>
  <c r="G42" i="21"/>
  <c r="F42" i="21"/>
  <c r="C42" i="21"/>
  <c r="O41" i="21"/>
  <c r="N41" i="21"/>
  <c r="M41" i="21"/>
  <c r="L41" i="21"/>
  <c r="K41" i="21"/>
  <c r="J41" i="21"/>
  <c r="I41" i="21"/>
  <c r="H41" i="21"/>
  <c r="G41" i="21"/>
  <c r="F41" i="21"/>
  <c r="C41" i="21"/>
  <c r="C40" i="21"/>
  <c r="C39" i="21"/>
  <c r="C38" i="21"/>
  <c r="C37" i="21"/>
  <c r="C36" i="21"/>
  <c r="C35" i="21"/>
  <c r="C34" i="21"/>
  <c r="C33" i="21"/>
  <c r="C32" i="21"/>
  <c r="C31" i="21"/>
  <c r="C30" i="21"/>
  <c r="C29" i="21"/>
  <c r="C28" i="21"/>
  <c r="C27" i="21"/>
  <c r="C26" i="21"/>
  <c r="C25" i="21"/>
  <c r="C24" i="21"/>
  <c r="C23" i="21"/>
  <c r="C22" i="21"/>
  <c r="C21" i="21"/>
  <c r="C20" i="21"/>
  <c r="C19" i="21"/>
  <c r="C18" i="21"/>
  <c r="C17" i="21"/>
  <c r="C16" i="21"/>
  <c r="BQ44" i="20"/>
  <c r="AI44" i="20"/>
  <c r="B44" i="20"/>
  <c r="BQ43" i="20"/>
  <c r="AI43" i="20"/>
  <c r="B43" i="20"/>
  <c r="BQ42" i="20"/>
  <c r="AI42" i="20"/>
  <c r="B42" i="20"/>
  <c r="CU41" i="20"/>
  <c r="BQ41" i="20"/>
  <c r="AI41" i="20"/>
  <c r="B41" i="20"/>
  <c r="CU40" i="20"/>
  <c r="BQ40" i="20"/>
  <c r="AI40" i="20"/>
  <c r="B40" i="20"/>
  <c r="BQ39" i="20"/>
  <c r="AI39" i="20"/>
  <c r="B39" i="20"/>
  <c r="BQ38" i="20"/>
  <c r="AI38" i="20"/>
  <c r="B38" i="20"/>
  <c r="BQ37" i="20"/>
  <c r="AI37" i="20"/>
  <c r="B37" i="20"/>
  <c r="BQ36" i="20"/>
  <c r="AI36" i="20"/>
  <c r="B36" i="20"/>
  <c r="BQ35" i="20"/>
  <c r="AI35" i="20"/>
  <c r="B35" i="20"/>
  <c r="BQ34" i="20"/>
  <c r="AI34" i="20"/>
  <c r="B34" i="20"/>
  <c r="BQ33" i="20"/>
  <c r="AI33" i="20"/>
  <c r="B33" i="20"/>
  <c r="BQ32" i="20"/>
  <c r="AI32" i="20"/>
  <c r="B32" i="20"/>
  <c r="BQ31" i="20"/>
  <c r="AI31" i="20"/>
  <c r="B31" i="20"/>
  <c r="BQ30" i="20"/>
  <c r="AI30" i="20"/>
  <c r="B30" i="20"/>
  <c r="BQ29" i="20"/>
  <c r="AI29" i="20"/>
  <c r="B29" i="20"/>
  <c r="BQ28" i="20"/>
  <c r="AI28" i="20"/>
  <c r="F39" i="21"/>
  <c r="B28" i="20"/>
  <c r="BQ27" i="20"/>
  <c r="AI27" i="20"/>
  <c r="F38" i="21"/>
  <c r="B27" i="20"/>
  <c r="BQ26" i="20"/>
  <c r="G37" i="21"/>
  <c r="AI26" i="20"/>
  <c r="B26" i="20"/>
  <c r="BQ25" i="20"/>
  <c r="AI25" i="20"/>
  <c r="F36" i="21"/>
  <c r="B25" i="20"/>
  <c r="BQ24" i="20"/>
  <c r="AI24" i="20"/>
  <c r="F35" i="21"/>
  <c r="B24" i="20"/>
  <c r="BQ23" i="20"/>
  <c r="AI23" i="20"/>
  <c r="F34" i="21"/>
  <c r="B23" i="20"/>
  <c r="BQ22" i="20"/>
  <c r="AI22" i="20"/>
  <c r="B22" i="20"/>
  <c r="BQ21" i="20"/>
  <c r="AI21" i="20"/>
  <c r="B21" i="20"/>
  <c r="BQ20" i="20"/>
  <c r="AI20" i="20"/>
  <c r="B20" i="20"/>
  <c r="BQ19" i="20"/>
  <c r="AI19" i="20"/>
  <c r="F30" i="21"/>
  <c r="B19" i="20"/>
  <c r="H29" i="21"/>
  <c r="BQ18" i="20"/>
  <c r="AI18" i="20"/>
  <c r="F29" i="21"/>
  <c r="B18" i="20"/>
  <c r="BQ17" i="20"/>
  <c r="AI17" i="20"/>
  <c r="B17" i="20"/>
  <c r="BQ16" i="20"/>
  <c r="G27" i="21"/>
  <c r="AI16" i="20"/>
  <c r="B16" i="20"/>
  <c r="BQ15" i="20"/>
  <c r="AI15" i="20"/>
  <c r="B15" i="20"/>
  <c r="BQ14" i="20"/>
  <c r="G25" i="21"/>
  <c r="AI14" i="20"/>
  <c r="F25" i="21"/>
  <c r="B14" i="20"/>
  <c r="BQ13" i="20"/>
  <c r="AI13" i="20"/>
  <c r="B13" i="20"/>
  <c r="BQ12" i="20"/>
  <c r="AI12" i="20"/>
  <c r="F23" i="21"/>
  <c r="B12" i="20"/>
  <c r="BQ11" i="20"/>
  <c r="AI11" i="20"/>
  <c r="F22" i="21"/>
  <c r="B11" i="20"/>
  <c r="BQ10" i="20"/>
  <c r="AI10" i="20"/>
  <c r="B10" i="20"/>
  <c r="BQ9" i="20"/>
  <c r="AI9" i="20"/>
  <c r="B9" i="20"/>
  <c r="BQ8" i="20"/>
  <c r="AI8" i="20"/>
  <c r="F19" i="21"/>
  <c r="B8" i="20"/>
  <c r="BQ7" i="20"/>
  <c r="AI7" i="20"/>
  <c r="F18" i="21"/>
  <c r="B7" i="20"/>
  <c r="H17" i="21"/>
  <c r="BQ6" i="20"/>
  <c r="AI6" i="20"/>
  <c r="B6" i="20"/>
  <c r="H16" i="21"/>
  <c r="BQ5" i="20"/>
  <c r="AI5" i="20"/>
  <c r="AE5" i="20"/>
  <c r="B5" i="20"/>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J130" i="17"/>
  <c r="BI130" i="17"/>
  <c r="BI129" i="17"/>
  <c r="BJ129" i="17" s="1"/>
  <c r="BI128" i="17"/>
  <c r="BJ128" i="17" s="1"/>
  <c r="B128" i="17"/>
  <c r="BJ127" i="17"/>
  <c r="BI127" i="17"/>
  <c r="B127" i="17"/>
  <c r="BI126" i="17"/>
  <c r="BJ126" i="17" s="1"/>
  <c r="B126" i="17"/>
  <c r="BJ125" i="17"/>
  <c r="BI125" i="17"/>
  <c r="B125" i="17"/>
  <c r="BJ124" i="17"/>
  <c r="BI124" i="17"/>
  <c r="B124" i="17"/>
  <c r="BJ123" i="17"/>
  <c r="BI123" i="17"/>
  <c r="B123" i="17"/>
  <c r="BI122" i="17"/>
  <c r="BJ122" i="17" s="1"/>
  <c r="B122" i="17"/>
  <c r="BI121" i="17"/>
  <c r="BJ121" i="17" s="1"/>
  <c r="B121" i="17"/>
  <c r="BI120" i="17"/>
  <c r="BJ120" i="17" s="1"/>
  <c r="B120" i="17"/>
  <c r="BJ119" i="17"/>
  <c r="BI119" i="17"/>
  <c r="B119" i="17"/>
  <c r="BI118" i="17"/>
  <c r="BJ118" i="17" s="1"/>
  <c r="B118" i="17"/>
  <c r="BJ117" i="17"/>
  <c r="BI117" i="17"/>
  <c r="B117" i="17"/>
  <c r="BJ116" i="17"/>
  <c r="BI116" i="17"/>
  <c r="B116" i="17"/>
  <c r="BJ115" i="17"/>
  <c r="BI115" i="17"/>
  <c r="B115" i="17"/>
  <c r="BI114" i="17"/>
  <c r="BJ114" i="17" s="1"/>
  <c r="B114" i="17"/>
  <c r="BI113" i="17"/>
  <c r="B113" i="17"/>
  <c r="BI112" i="17"/>
  <c r="B112" i="17"/>
  <c r="BJ111" i="17"/>
  <c r="BI111" i="17"/>
  <c r="B111" i="17"/>
  <c r="BI110" i="17"/>
  <c r="B110" i="17"/>
  <c r="BJ109" i="17"/>
  <c r="BI109" i="17"/>
  <c r="B109" i="17"/>
  <c r="BJ108" i="17"/>
  <c r="BI108" i="17"/>
  <c r="B108" i="17"/>
  <c r="BJ107" i="17"/>
  <c r="BI107" i="17"/>
  <c r="B107" i="17"/>
  <c r="BI106" i="17"/>
  <c r="B106" i="17"/>
  <c r="BI105" i="17"/>
  <c r="B105" i="17"/>
  <c r="BI104" i="17"/>
  <c r="B104" i="17"/>
  <c r="BJ103" i="17"/>
  <c r="BI103" i="17"/>
  <c r="B103" i="17"/>
  <c r="BI102" i="17"/>
  <c r="B102" i="17"/>
  <c r="BJ101" i="17"/>
  <c r="BI101" i="17"/>
  <c r="B101" i="17"/>
  <c r="BJ100" i="17"/>
  <c r="BI100" i="17"/>
  <c r="B100" i="17"/>
  <c r="BJ99" i="17"/>
  <c r="BI99" i="17"/>
  <c r="B99" i="17"/>
  <c r="BI98" i="17"/>
  <c r="B98" i="17"/>
  <c r="BI97" i="17"/>
  <c r="B97" i="17"/>
  <c r="BI96" i="17"/>
  <c r="B96" i="17"/>
  <c r="BJ95" i="17"/>
  <c r="BI95" i="17"/>
  <c r="B95" i="17"/>
  <c r="BI94" i="17"/>
  <c r="B94" i="17"/>
  <c r="BJ93" i="17"/>
  <c r="BI93" i="17"/>
  <c r="B93" i="17"/>
  <c r="BJ92" i="17"/>
  <c r="BI92" i="17"/>
  <c r="B92" i="17"/>
  <c r="BJ91" i="17"/>
  <c r="BI91" i="17"/>
  <c r="B91" i="17"/>
  <c r="BI90" i="17"/>
  <c r="B90" i="17"/>
  <c r="BI89" i="17"/>
  <c r="B89" i="17"/>
  <c r="BI86" i="17"/>
  <c r="BJ86" i="17" s="1"/>
  <c r="BI85" i="17"/>
  <c r="BJ85" i="17" s="1"/>
  <c r="B85" i="17"/>
  <c r="BI84" i="17"/>
  <c r="BJ84" i="17" s="1"/>
  <c r="B84" i="17"/>
  <c r="BI83" i="17"/>
  <c r="BJ83" i="17" s="1"/>
  <c r="B83" i="17"/>
  <c r="BJ82" i="17"/>
  <c r="BI82" i="17"/>
  <c r="B82" i="17"/>
  <c r="BI81" i="17"/>
  <c r="BJ81" i="17" s="1"/>
  <c r="B81" i="17"/>
  <c r="BJ80" i="17"/>
  <c r="BI80" i="17"/>
  <c r="B80" i="17"/>
  <c r="BJ79" i="17"/>
  <c r="BI79" i="17"/>
  <c r="B79" i="17"/>
  <c r="BJ78" i="17"/>
  <c r="BI78" i="17"/>
  <c r="B78" i="17"/>
  <c r="BI77" i="17"/>
  <c r="BJ77" i="17" s="1"/>
  <c r="B77" i="17"/>
  <c r="BI76" i="17"/>
  <c r="BJ76" i="17" s="1"/>
  <c r="B76" i="17"/>
  <c r="BI75" i="17"/>
  <c r="BJ75" i="17" s="1"/>
  <c r="B75" i="17"/>
  <c r="BJ74" i="17"/>
  <c r="BI74" i="17"/>
  <c r="B74" i="17"/>
  <c r="BI73" i="17"/>
  <c r="BJ73" i="17" s="1"/>
  <c r="B73" i="17"/>
  <c r="BJ72" i="17"/>
  <c r="BI72" i="17"/>
  <c r="B72" i="17"/>
  <c r="BJ71" i="17"/>
  <c r="BI71" i="17"/>
  <c r="B71" i="17"/>
  <c r="BJ70" i="17"/>
  <c r="BI70" i="17"/>
  <c r="B70" i="17"/>
  <c r="BI69" i="17"/>
  <c r="B69" i="17"/>
  <c r="BI68" i="17"/>
  <c r="B68" i="17"/>
  <c r="BI67" i="17"/>
  <c r="B67" i="17"/>
  <c r="BJ66" i="17"/>
  <c r="BI66" i="17"/>
  <c r="B66" i="17"/>
  <c r="BI65" i="17"/>
  <c r="BJ65" i="17" s="1"/>
  <c r="B65" i="17"/>
  <c r="BJ64" i="17"/>
  <c r="BI64" i="17"/>
  <c r="B64" i="17"/>
  <c r="BJ63" i="17"/>
  <c r="BI63" i="17"/>
  <c r="B63" i="17"/>
  <c r="BJ62" i="17"/>
  <c r="BI62" i="17"/>
  <c r="B62" i="17"/>
  <c r="BI61" i="17"/>
  <c r="B61" i="17"/>
  <c r="BI60" i="17"/>
  <c r="B60" i="17"/>
  <c r="BI59" i="17"/>
  <c r="B59" i="17"/>
  <c r="BJ58" i="17"/>
  <c r="BI58" i="17"/>
  <c r="B58" i="17"/>
  <c r="BI57" i="17"/>
  <c r="B57" i="17"/>
  <c r="BJ56" i="17"/>
  <c r="BI56" i="17"/>
  <c r="B56" i="17"/>
  <c r="BJ55" i="17"/>
  <c r="BI55" i="17"/>
  <c r="B55" i="17"/>
  <c r="BJ54" i="17"/>
  <c r="BI54" i="17"/>
  <c r="B54" i="17"/>
  <c r="BI53" i="17"/>
  <c r="B53" i="17"/>
  <c r="BI52" i="17"/>
  <c r="B52" i="17"/>
  <c r="BI51" i="17"/>
  <c r="B51" i="17"/>
  <c r="BJ50" i="17"/>
  <c r="BI50" i="17"/>
  <c r="B50" i="17"/>
  <c r="BI49" i="17"/>
  <c r="B49" i="17"/>
  <c r="BJ48" i="17"/>
  <c r="BI48" i="17"/>
  <c r="B48" i="17"/>
  <c r="BJ47" i="17"/>
  <c r="BI47" i="17"/>
  <c r="B47" i="17"/>
  <c r="BJ46" i="17"/>
  <c r="BI46" i="17"/>
  <c r="B46" i="17"/>
  <c r="BI43" i="17"/>
  <c r="BJ43" i="17" s="1"/>
  <c r="BJ42" i="17"/>
  <c r="BI42" i="17"/>
  <c r="B42" i="17"/>
  <c r="BJ41" i="17"/>
  <c r="BI41" i="17"/>
  <c r="B41" i="17"/>
  <c r="BI40" i="17"/>
  <c r="BJ40" i="17" s="1"/>
  <c r="B40" i="17"/>
  <c r="BI39" i="17"/>
  <c r="BJ39" i="17" s="1"/>
  <c r="B39" i="17"/>
  <c r="BI38" i="17"/>
  <c r="BJ38" i="17" s="1"/>
  <c r="B38" i="17"/>
  <c r="BJ37" i="17"/>
  <c r="BI37" i="17"/>
  <c r="B37" i="17"/>
  <c r="BI36" i="17"/>
  <c r="BJ36" i="17" s="1"/>
  <c r="B36" i="17"/>
  <c r="BJ35" i="17"/>
  <c r="BI35" i="17"/>
  <c r="B35" i="17"/>
  <c r="BJ34" i="17"/>
  <c r="BI34" i="17"/>
  <c r="B34" i="17"/>
  <c r="BJ33" i="17"/>
  <c r="BI33" i="17"/>
  <c r="B33" i="17"/>
  <c r="BI32" i="17"/>
  <c r="BJ32" i="17" s="1"/>
  <c r="B32" i="17"/>
  <c r="BI31" i="17"/>
  <c r="BJ31" i="17" s="1"/>
  <c r="B31" i="17"/>
  <c r="BI30" i="17"/>
  <c r="BJ30" i="17" s="1"/>
  <c r="B30" i="17"/>
  <c r="BJ29" i="17"/>
  <c r="BI29" i="17"/>
  <c r="B29" i="17"/>
  <c r="BI28" i="17"/>
  <c r="BJ28" i="17" s="1"/>
  <c r="B28" i="17"/>
  <c r="BJ27" i="17"/>
  <c r="BI27" i="17"/>
  <c r="B27" i="17"/>
  <c r="BJ26" i="17"/>
  <c r="BI26" i="17"/>
  <c r="B26" i="17"/>
  <c r="BJ25" i="17"/>
  <c r="BI25" i="17"/>
  <c r="B25" i="17"/>
  <c r="BI24" i="17"/>
  <c r="B24" i="17"/>
  <c r="BI23" i="17"/>
  <c r="B23" i="17"/>
  <c r="BI22" i="17"/>
  <c r="B22" i="17"/>
  <c r="BJ21" i="17"/>
  <c r="BI21" i="17"/>
  <c r="B21" i="17"/>
  <c r="BI20" i="17"/>
  <c r="BJ20" i="17" s="1"/>
  <c r="B20" i="17"/>
  <c r="BJ19" i="17"/>
  <c r="BI19" i="17"/>
  <c r="B19" i="17"/>
  <c r="BJ18" i="17"/>
  <c r="BI18" i="17"/>
  <c r="B18" i="17"/>
  <c r="BJ17" i="17"/>
  <c r="BI17" i="17"/>
  <c r="B17" i="17"/>
  <c r="BI16" i="17"/>
  <c r="B16" i="17"/>
  <c r="BI15" i="17"/>
  <c r="B15" i="17"/>
  <c r="BI14" i="17"/>
  <c r="B14" i="17"/>
  <c r="BJ13" i="17"/>
  <c r="BI13" i="17"/>
  <c r="B13" i="17"/>
  <c r="BI12" i="17"/>
  <c r="B12" i="17"/>
  <c r="BJ11" i="17"/>
  <c r="BI11" i="17"/>
  <c r="B11" i="17"/>
  <c r="BJ10" i="17"/>
  <c r="BI10" i="17"/>
  <c r="B10" i="17"/>
  <c r="BJ9" i="17"/>
  <c r="BI9" i="17"/>
  <c r="B9" i="17"/>
  <c r="BI8" i="17"/>
  <c r="B8" i="17"/>
  <c r="BI7" i="17"/>
  <c r="B7" i="17"/>
  <c r="BI6" i="17"/>
  <c r="B6" i="17"/>
  <c r="BJ5" i="17"/>
  <c r="BI5" i="17"/>
  <c r="B5" i="17"/>
  <c r="BI4" i="17"/>
  <c r="B4" i="17"/>
  <c r="BJ3" i="17"/>
  <c r="BI3" i="17"/>
  <c r="B3" i="17"/>
  <c r="Q16" i="59" l="1"/>
  <c r="P16" i="59"/>
  <c r="Q22" i="59"/>
  <c r="P16" i="57"/>
  <c r="P51" i="57"/>
  <c r="Q19" i="57"/>
  <c r="P16" i="55"/>
  <c r="P22" i="55"/>
  <c r="P17" i="51"/>
  <c r="Q22" i="51"/>
  <c r="Q16" i="53"/>
  <c r="Q37" i="53"/>
  <c r="Q41" i="53"/>
  <c r="Q16" i="49"/>
  <c r="Q18" i="49"/>
  <c r="P16" i="49"/>
  <c r="Q19" i="49"/>
  <c r="P16" i="47"/>
  <c r="P22" i="47"/>
  <c r="Q43" i="47"/>
  <c r="P16" i="45"/>
  <c r="P19" i="45"/>
  <c r="Q20" i="45"/>
  <c r="J121" i="11"/>
  <c r="P17" i="47"/>
  <c r="P19" i="47"/>
  <c r="P22" i="51"/>
  <c r="P27" i="51"/>
  <c r="P16" i="53"/>
  <c r="Q18" i="53"/>
  <c r="P21" i="53"/>
  <c r="P26" i="53"/>
  <c r="P42" i="53"/>
  <c r="Q16" i="55"/>
  <c r="Q17" i="55"/>
  <c r="P19" i="57"/>
  <c r="P40" i="57"/>
  <c r="Q20" i="59"/>
  <c r="Q19" i="47"/>
  <c r="P27" i="47"/>
  <c r="Q28" i="47"/>
  <c r="Q16" i="51"/>
  <c r="Q17" i="51"/>
  <c r="Q19" i="51"/>
  <c r="P20" i="51"/>
  <c r="Q30" i="51"/>
  <c r="Q46" i="51"/>
  <c r="P19" i="53"/>
  <c r="P18" i="55"/>
  <c r="P51" i="55"/>
  <c r="P17" i="57"/>
  <c r="P26" i="57"/>
  <c r="Q27" i="57"/>
  <c r="P30" i="57"/>
  <c r="Q35" i="57"/>
  <c r="Q43" i="57"/>
  <c r="P46" i="57"/>
  <c r="Q34" i="59"/>
  <c r="P19" i="51"/>
  <c r="Q16" i="45"/>
  <c r="Q17" i="45"/>
  <c r="P51" i="45"/>
  <c r="P18" i="47"/>
  <c r="P17" i="49"/>
  <c r="P24" i="49"/>
  <c r="P32" i="49"/>
  <c r="Q50" i="49"/>
  <c r="Q35" i="51"/>
  <c r="Q16" i="57"/>
  <c r="Q17" i="57"/>
  <c r="Q22" i="57"/>
  <c r="P44" i="21"/>
  <c r="Q40" i="49"/>
  <c r="P19" i="55"/>
  <c r="P50" i="47"/>
  <c r="Q17" i="49"/>
  <c r="P27" i="49"/>
  <c r="P35" i="49"/>
  <c r="P40" i="49"/>
  <c r="P17" i="53"/>
  <c r="Q21" i="57"/>
  <c r="P19" i="59"/>
  <c r="P51" i="49"/>
  <c r="P18" i="53"/>
  <c r="P21" i="49"/>
  <c r="Q17" i="53"/>
  <c r="P45" i="53"/>
  <c r="P17" i="59"/>
  <c r="Q16" i="47"/>
  <c r="Q48" i="47"/>
  <c r="Q38" i="49"/>
  <c r="P24" i="57"/>
  <c r="P44" i="47"/>
  <c r="P49" i="51"/>
  <c r="Q29" i="53"/>
  <c r="P32" i="53"/>
  <c r="P25" i="45"/>
  <c r="P27" i="45"/>
  <c r="Q30" i="45"/>
  <c r="P35" i="45"/>
  <c r="Q38" i="45"/>
  <c r="P41" i="45"/>
  <c r="Q46" i="45"/>
  <c r="Q23" i="47"/>
  <c r="Q39" i="47"/>
  <c r="P40" i="47"/>
  <c r="Q46" i="47"/>
  <c r="P30" i="49"/>
  <c r="Q33" i="51"/>
  <c r="P36" i="51"/>
  <c r="Q43" i="51"/>
  <c r="Q49" i="51"/>
  <c r="Q24" i="53"/>
  <c r="P51" i="21"/>
  <c r="Q25" i="45"/>
  <c r="Q27" i="45"/>
  <c r="Q35" i="45"/>
  <c r="P43" i="47"/>
  <c r="Q45" i="47"/>
  <c r="P48" i="47"/>
  <c r="P25" i="49"/>
  <c r="Q28" i="51"/>
  <c r="Q32" i="51"/>
  <c r="Q38" i="51"/>
  <c r="P43" i="51"/>
  <c r="Q44" i="51"/>
  <c r="P50" i="55"/>
  <c r="P29" i="57"/>
  <c r="Q30" i="57"/>
  <c r="P33" i="57"/>
  <c r="Q38" i="57"/>
  <c r="Q47" i="21"/>
  <c r="Q27" i="47"/>
  <c r="P38" i="47"/>
  <c r="P24" i="51"/>
  <c r="P32" i="55"/>
  <c r="Q25" i="57"/>
  <c r="Q50" i="21"/>
  <c r="Q23" i="45"/>
  <c r="Q30" i="47"/>
  <c r="P33" i="47"/>
  <c r="Q38" i="47"/>
  <c r="P23" i="49"/>
  <c r="Q51" i="49"/>
  <c r="Q42" i="55"/>
  <c r="P43" i="55"/>
  <c r="Q45" i="55"/>
  <c r="P48" i="55"/>
  <c r="P23" i="57"/>
  <c r="P48" i="21"/>
  <c r="P52" i="45"/>
  <c r="Q33" i="47"/>
  <c r="Q46" i="49"/>
  <c r="Q52" i="49"/>
  <c r="P38" i="55"/>
  <c r="Q23" i="57"/>
  <c r="P35" i="47"/>
  <c r="P45" i="21"/>
  <c r="P43" i="45"/>
  <c r="Q35" i="47"/>
  <c r="Q47" i="47"/>
  <c r="Q51" i="51"/>
  <c r="P34" i="53"/>
  <c r="P52" i="53"/>
  <c r="P40" i="55"/>
  <c r="Q24" i="57"/>
  <c r="P48" i="57"/>
  <c r="P52" i="59"/>
  <c r="Q24" i="45"/>
  <c r="P41" i="21"/>
  <c r="P43" i="21"/>
  <c r="P46" i="21"/>
  <c r="Q36" i="45"/>
  <c r="Q41" i="45"/>
  <c r="Q43" i="45"/>
  <c r="P24" i="47"/>
  <c r="P28" i="47"/>
  <c r="Q32" i="47"/>
  <c r="Q25" i="49"/>
  <c r="Q27" i="49"/>
  <c r="P28" i="49"/>
  <c r="P43" i="49"/>
  <c r="P48" i="49"/>
  <c r="Q31" i="51"/>
  <c r="P32" i="51"/>
  <c r="P40" i="51"/>
  <c r="Q48" i="51"/>
  <c r="Q32" i="53"/>
  <c r="P35" i="53"/>
  <c r="Q50" i="53"/>
  <c r="P37" i="55"/>
  <c r="Q38" i="55"/>
  <c r="P41" i="55"/>
  <c r="Q28" i="57"/>
  <c r="P45" i="57"/>
  <c r="Q46" i="57"/>
  <c r="P32" i="59"/>
  <c r="Q50" i="59"/>
  <c r="P51" i="51"/>
  <c r="Q41" i="21"/>
  <c r="Q51" i="21"/>
  <c r="P24" i="45"/>
  <c r="P32" i="45"/>
  <c r="Q40" i="45"/>
  <c r="P34" i="47"/>
  <c r="Q24" i="49"/>
  <c r="P46" i="49"/>
  <c r="P25" i="53"/>
  <c r="Q27" i="53"/>
  <c r="P30" i="53"/>
  <c r="Q40" i="53"/>
  <c r="P44" i="53"/>
  <c r="Q45" i="53"/>
  <c r="P48" i="53"/>
  <c r="P50" i="53"/>
  <c r="Q32" i="55"/>
  <c r="Q33" i="55"/>
  <c r="Q46" i="55"/>
  <c r="Q51" i="55"/>
  <c r="P39" i="57"/>
  <c r="Q40" i="57"/>
  <c r="Q41" i="57"/>
  <c r="Q37" i="59"/>
  <c r="Q45" i="59"/>
  <c r="P48" i="59"/>
  <c r="Q44" i="21"/>
  <c r="Q48" i="21"/>
  <c r="Q39" i="45"/>
  <c r="Q29" i="47"/>
  <c r="P49" i="47"/>
  <c r="P51" i="47"/>
  <c r="P41" i="49"/>
  <c r="P38" i="51"/>
  <c r="Q25" i="53"/>
  <c r="P29" i="53"/>
  <c r="Q30" i="53"/>
  <c r="Q39" i="53"/>
  <c r="Q48" i="53"/>
  <c r="P51" i="53"/>
  <c r="P28" i="55"/>
  <c r="P35" i="55"/>
  <c r="Q36" i="55"/>
  <c r="Q26" i="57"/>
  <c r="P43" i="57"/>
  <c r="Q44" i="57"/>
  <c r="Q27" i="59"/>
  <c r="P30" i="59"/>
  <c r="P43" i="59"/>
  <c r="P52" i="21"/>
  <c r="P42" i="21"/>
  <c r="Q46" i="21"/>
  <c r="P30" i="45"/>
  <c r="Q52" i="45"/>
  <c r="Q31" i="47"/>
  <c r="P32" i="47"/>
  <c r="Q44" i="47"/>
  <c r="Q49" i="47"/>
  <c r="Q51" i="47"/>
  <c r="Q30" i="49"/>
  <c r="Q34" i="49"/>
  <c r="Q36" i="49"/>
  <c r="Q41" i="49"/>
  <c r="Q43" i="49"/>
  <c r="P44" i="49"/>
  <c r="P33" i="51"/>
  <c r="P35" i="51"/>
  <c r="Q47" i="51"/>
  <c r="P48" i="51"/>
  <c r="P41" i="53"/>
  <c r="Q43" i="53"/>
  <c r="P46" i="53"/>
  <c r="P34" i="55"/>
  <c r="Q48" i="55"/>
  <c r="Q49" i="55"/>
  <c r="P25" i="59"/>
  <c r="P27" i="59"/>
  <c r="Q30" i="59"/>
  <c r="Q46" i="53"/>
  <c r="Q26" i="55"/>
  <c r="P27" i="55"/>
  <c r="Q29" i="55"/>
  <c r="P44" i="55"/>
  <c r="Q52" i="55"/>
  <c r="P27" i="57"/>
  <c r="P35" i="57"/>
  <c r="Q42" i="57"/>
  <c r="P52" i="57"/>
  <c r="Q25" i="59"/>
  <c r="Q38" i="59"/>
  <c r="Q46" i="59"/>
  <c r="P49" i="59"/>
  <c r="P51" i="59"/>
  <c r="P21" i="45"/>
  <c r="Q26" i="45"/>
  <c r="Q31" i="45"/>
  <c r="P37" i="45"/>
  <c r="Q42" i="45"/>
  <c r="Q18" i="47"/>
  <c r="P29" i="47"/>
  <c r="Q34" i="47"/>
  <c r="P45" i="47"/>
  <c r="Q50" i="47"/>
  <c r="Q31" i="49"/>
  <c r="P37" i="49"/>
  <c r="Q47" i="49"/>
  <c r="Q18" i="51"/>
  <c r="Q23" i="51"/>
  <c r="P29" i="51"/>
  <c r="Q34" i="51"/>
  <c r="Q39" i="51"/>
  <c r="P45" i="51"/>
  <c r="Q50" i="51"/>
  <c r="P22" i="53"/>
  <c r="Q23" i="53"/>
  <c r="P28" i="53"/>
  <c r="P38" i="53"/>
  <c r="Q42" i="53"/>
  <c r="Q21" i="55"/>
  <c r="P23" i="55"/>
  <c r="P26" i="55"/>
  <c r="Q37" i="55"/>
  <c r="P39" i="55"/>
  <c r="P42" i="55"/>
  <c r="P18" i="57"/>
  <c r="P20" i="57"/>
  <c r="P34" i="57"/>
  <c r="P36" i="57"/>
  <c r="Q45" i="57"/>
  <c r="P50" i="57"/>
  <c r="Q19" i="59"/>
  <c r="P24" i="59"/>
  <c r="P36" i="59"/>
  <c r="K121" i="11"/>
  <c r="C121" i="11"/>
  <c r="D121" i="11"/>
  <c r="E121" i="11"/>
  <c r="F121" i="11"/>
  <c r="G121" i="11"/>
  <c r="H121" i="11"/>
  <c r="Q43" i="21"/>
  <c r="Q45" i="21"/>
  <c r="P50" i="21"/>
  <c r="Q52" i="21"/>
  <c r="P20" i="45"/>
  <c r="Q21" i="45"/>
  <c r="P26" i="45"/>
  <c r="P31" i="45"/>
  <c r="P36" i="45"/>
  <c r="Q37" i="45"/>
  <c r="P42" i="45"/>
  <c r="P47" i="45"/>
  <c r="Q21" i="47"/>
  <c r="P23" i="47"/>
  <c r="P26" i="47"/>
  <c r="Q37" i="47"/>
  <c r="P39" i="47"/>
  <c r="P42" i="47"/>
  <c r="P20" i="49"/>
  <c r="Q21" i="49"/>
  <c r="P26" i="49"/>
  <c r="P36" i="49"/>
  <c r="Q37" i="49"/>
  <c r="P42" i="49"/>
  <c r="P52" i="49"/>
  <c r="P18" i="51"/>
  <c r="P23" i="51"/>
  <c r="P28" i="51"/>
  <c r="Q29" i="51"/>
  <c r="P34" i="51"/>
  <c r="P39" i="51"/>
  <c r="P44" i="51"/>
  <c r="Q45" i="51"/>
  <c r="P50" i="51"/>
  <c r="Q20" i="53"/>
  <c r="Q22" i="53"/>
  <c r="P27" i="53"/>
  <c r="Q36" i="53"/>
  <c r="Q38" i="53"/>
  <c r="P43" i="53"/>
  <c r="Q52" i="53"/>
  <c r="Q28" i="55"/>
  <c r="P33" i="55"/>
  <c r="Q39" i="55"/>
  <c r="Q44" i="55"/>
  <c r="P49" i="55"/>
  <c r="Q18" i="57"/>
  <c r="Q20" i="57"/>
  <c r="P25" i="57"/>
  <c r="Q34" i="57"/>
  <c r="Q36" i="57"/>
  <c r="P41" i="57"/>
  <c r="Q47" i="57"/>
  <c r="Q50" i="57"/>
  <c r="Q52" i="57"/>
  <c r="P22" i="59"/>
  <c r="Q29" i="59"/>
  <c r="P34" i="59"/>
  <c r="Q36" i="59"/>
  <c r="P41" i="59"/>
  <c r="P46" i="59"/>
  <c r="P45" i="59"/>
  <c r="P44" i="59"/>
  <c r="Q18" i="45"/>
  <c r="P29" i="45"/>
  <c r="Q34" i="45"/>
  <c r="P45" i="45"/>
  <c r="Q50" i="45"/>
  <c r="P21" i="47"/>
  <c r="Q26" i="47"/>
  <c r="P37" i="47"/>
  <c r="Q42" i="47"/>
  <c r="Q23" i="49"/>
  <c r="P29" i="49"/>
  <c r="Q39" i="49"/>
  <c r="P45" i="49"/>
  <c r="P21" i="51"/>
  <c r="Q26" i="51"/>
  <c r="P37" i="51"/>
  <c r="Q42" i="51"/>
  <c r="P20" i="53"/>
  <c r="Q31" i="53"/>
  <c r="Q34" i="53"/>
  <c r="P36" i="53"/>
  <c r="Q47" i="53"/>
  <c r="P20" i="55"/>
  <c r="P31" i="55"/>
  <c r="P47" i="55"/>
  <c r="P28" i="57"/>
  <c r="Q37" i="57"/>
  <c r="P42" i="57"/>
  <c r="P29" i="59"/>
  <c r="P18" i="45"/>
  <c r="P23" i="45"/>
  <c r="P28" i="45"/>
  <c r="Q29" i="45"/>
  <c r="P34" i="45"/>
  <c r="P39" i="45"/>
  <c r="P44" i="45"/>
  <c r="Q45" i="45"/>
  <c r="P50" i="45"/>
  <c r="P31" i="47"/>
  <c r="P47" i="47"/>
  <c r="P18" i="49"/>
  <c r="Q29" i="49"/>
  <c r="P34" i="49"/>
  <c r="Q45" i="49"/>
  <c r="P50" i="49"/>
  <c r="Q21" i="51"/>
  <c r="P26" i="51"/>
  <c r="P31" i="51"/>
  <c r="Q37" i="51"/>
  <c r="P42" i="51"/>
  <c r="P47" i="51"/>
  <c r="P39" i="53"/>
  <c r="Q31" i="55"/>
  <c r="Q47" i="55"/>
  <c r="Q39" i="57"/>
  <c r="P49" i="57"/>
  <c r="Q18" i="59"/>
  <c r="P23" i="59"/>
  <c r="Q24" i="59"/>
  <c r="P28" i="59"/>
  <c r="Q35" i="59"/>
  <c r="Q42" i="59"/>
  <c r="Q42" i="21"/>
  <c r="P49" i="21"/>
  <c r="Q28" i="45"/>
  <c r="P33" i="45"/>
  <c r="Q44" i="45"/>
  <c r="P49" i="45"/>
  <c r="Q20" i="47"/>
  <c r="P25" i="47"/>
  <c r="Q36" i="47"/>
  <c r="P41" i="47"/>
  <c r="Q52" i="47"/>
  <c r="Q26" i="49"/>
  <c r="Q28" i="49"/>
  <c r="P33" i="49"/>
  <c r="Q42" i="49"/>
  <c r="Q44" i="49"/>
  <c r="P49" i="49"/>
  <c r="Q20" i="51"/>
  <c r="P25" i="51"/>
  <c r="Q36" i="51"/>
  <c r="P41" i="51"/>
  <c r="Q52" i="51"/>
  <c r="Q19" i="53"/>
  <c r="P24" i="53"/>
  <c r="Q26" i="53"/>
  <c r="P33" i="53"/>
  <c r="Q35" i="53"/>
  <c r="P40" i="53"/>
  <c r="P49" i="53"/>
  <c r="Q51" i="53"/>
  <c r="Q24" i="55"/>
  <c r="Q25" i="55"/>
  <c r="P30" i="55"/>
  <c r="P36" i="55"/>
  <c r="Q40" i="55"/>
  <c r="Q41" i="55"/>
  <c r="P46" i="55"/>
  <c r="P52" i="55"/>
  <c r="P22" i="57"/>
  <c r="P31" i="57"/>
  <c r="Q32" i="57"/>
  <c r="Q33" i="57"/>
  <c r="P38" i="57"/>
  <c r="P44" i="57"/>
  <c r="P47" i="57"/>
  <c r="Q48" i="57"/>
  <c r="Q49" i="57"/>
  <c r="Q23" i="59"/>
  <c r="P26" i="59"/>
  <c r="Q28" i="59"/>
  <c r="P33" i="59"/>
  <c r="P38" i="59"/>
  <c r="P40" i="59"/>
  <c r="Q47" i="59"/>
  <c r="P47" i="21"/>
  <c r="Q49" i="21"/>
  <c r="P22" i="45"/>
  <c r="Q32" i="45"/>
  <c r="Q33" i="45"/>
  <c r="P38" i="45"/>
  <c r="Q48" i="45"/>
  <c r="Q49" i="45"/>
  <c r="P20" i="47"/>
  <c r="Q24" i="47"/>
  <c r="Q25" i="47"/>
  <c r="P30" i="47"/>
  <c r="P36" i="47"/>
  <c r="Q40" i="47"/>
  <c r="Q41" i="47"/>
  <c r="P46" i="47"/>
  <c r="P52" i="47"/>
  <c r="P22" i="49"/>
  <c r="P31" i="49"/>
  <c r="Q32" i="49"/>
  <c r="Q33" i="49"/>
  <c r="P38" i="49"/>
  <c r="P47" i="49"/>
  <c r="Q48" i="49"/>
  <c r="Q49" i="49"/>
  <c r="Q24" i="51"/>
  <c r="Q25" i="51"/>
  <c r="P30" i="51"/>
  <c r="Q40" i="51"/>
  <c r="Q41" i="51"/>
  <c r="P46" i="51"/>
  <c r="P52" i="51"/>
  <c r="P31" i="53"/>
  <c r="Q33" i="53"/>
  <c r="P47" i="53"/>
  <c r="Q49" i="53"/>
  <c r="Q18" i="55"/>
  <c r="Q23" i="55"/>
  <c r="P29" i="55"/>
  <c r="Q34" i="55"/>
  <c r="P45" i="55"/>
  <c r="Q50" i="55"/>
  <c r="P21" i="57"/>
  <c r="Q31" i="57"/>
  <c r="P37" i="57"/>
  <c r="Q21" i="59"/>
  <c r="Q26" i="59"/>
  <c r="P31" i="59"/>
  <c r="Q33" i="59"/>
  <c r="P37" i="59"/>
  <c r="I121" i="11"/>
  <c r="K79" i="11"/>
  <c r="C79" i="11"/>
  <c r="D79" i="11"/>
  <c r="E79" i="11"/>
  <c r="I79" i="11"/>
  <c r="F79" i="11"/>
  <c r="G79" i="11"/>
  <c r="H79" i="11"/>
  <c r="C39" i="11"/>
  <c r="J79" i="11"/>
  <c r="D39" i="11"/>
  <c r="E39" i="11"/>
  <c r="F39" i="11"/>
  <c r="H35" i="21"/>
  <c r="H32" i="21"/>
  <c r="F33" i="21"/>
  <c r="H34" i="21"/>
  <c r="G19" i="21"/>
  <c r="F20" i="21"/>
  <c r="G21" i="21"/>
  <c r="G24" i="21"/>
  <c r="F27" i="21"/>
  <c r="H18" i="21"/>
  <c r="H21" i="21"/>
  <c r="G22" i="21"/>
  <c r="H30" i="21"/>
  <c r="G32" i="21"/>
  <c r="H40" i="21"/>
  <c r="F16" i="21"/>
  <c r="H23" i="21"/>
  <c r="G26" i="21"/>
  <c r="H27" i="21"/>
  <c r="H39" i="21"/>
  <c r="H19" i="21"/>
  <c r="H24" i="21"/>
  <c r="F26" i="21"/>
  <c r="G30" i="21"/>
  <c r="F31" i="21"/>
  <c r="G35" i="21"/>
  <c r="F40" i="21"/>
  <c r="F17" i="21"/>
  <c r="F24" i="21"/>
  <c r="H28" i="21"/>
  <c r="G31" i="21"/>
  <c r="G16" i="21"/>
  <c r="H22" i="21"/>
  <c r="H26" i="21"/>
  <c r="F28" i="21"/>
  <c r="G29" i="21"/>
  <c r="F32" i="21"/>
  <c r="G33" i="21"/>
  <c r="H36" i="21"/>
  <c r="G39" i="21"/>
  <c r="G20" i="21"/>
  <c r="H25" i="21"/>
  <c r="H38" i="21"/>
  <c r="G18" i="21"/>
  <c r="F21" i="21"/>
  <c r="G28" i="21"/>
  <c r="H33" i="21"/>
  <c r="H37" i="21"/>
  <c r="G40" i="21"/>
  <c r="G36" i="21"/>
  <c r="G34" i="21"/>
  <c r="F37" i="21"/>
  <c r="G17" i="21"/>
  <c r="H20" i="21"/>
  <c r="G23" i="21"/>
  <c r="H39" i="11"/>
  <c r="J39" i="11"/>
  <c r="M35" i="21"/>
  <c r="K33" i="21"/>
  <c r="K24" i="21"/>
  <c r="M18" i="21"/>
  <c r="K22" i="21"/>
  <c r="L19" i="21"/>
  <c r="L27" i="21"/>
  <c r="M40" i="21"/>
  <c r="O18" i="21"/>
  <c r="N21" i="21"/>
  <c r="O26" i="21"/>
  <c r="N29" i="21"/>
  <c r="O34" i="21"/>
  <c r="N37" i="21"/>
  <c r="J27" i="21"/>
  <c r="K40" i="21"/>
  <c r="J17" i="21"/>
  <c r="K30" i="21"/>
  <c r="M24" i="21"/>
  <c r="M32" i="21"/>
  <c r="J20" i="21"/>
  <c r="J28" i="21"/>
  <c r="J36" i="21"/>
  <c r="BJ49" i="17"/>
  <c r="L22" i="21"/>
  <c r="BJ57" i="17"/>
  <c r="L30" i="21"/>
  <c r="L38" i="21"/>
  <c r="N16" i="21"/>
  <c r="BJ94" i="17"/>
  <c r="N24" i="21"/>
  <c r="BJ102" i="17"/>
  <c r="N32" i="21"/>
  <c r="BJ110" i="17"/>
  <c r="N40" i="21"/>
  <c r="BJ7" i="17"/>
  <c r="J23" i="21"/>
  <c r="BJ15" i="17"/>
  <c r="J31" i="21"/>
  <c r="BJ23" i="17"/>
  <c r="J39" i="21"/>
  <c r="L17" i="21"/>
  <c r="BJ52" i="17"/>
  <c r="L25" i="21"/>
  <c r="BJ60" i="17"/>
  <c r="L33" i="21"/>
  <c r="BJ68" i="17"/>
  <c r="BJ89" i="17"/>
  <c r="N19" i="21"/>
  <c r="BJ97" i="17"/>
  <c r="N27" i="21"/>
  <c r="BJ105" i="17"/>
  <c r="N35" i="21"/>
  <c r="BJ113" i="17"/>
  <c r="J25" i="21"/>
  <c r="K38" i="21"/>
  <c r="M16" i="21"/>
  <c r="L35" i="21"/>
  <c r="BJ4" i="17"/>
  <c r="BJ12" i="17"/>
  <c r="J18" i="21"/>
  <c r="K23" i="21"/>
  <c r="J26" i="21"/>
  <c r="K31" i="21"/>
  <c r="J34" i="21"/>
  <c r="K39" i="21"/>
  <c r="M17" i="21"/>
  <c r="L20" i="21"/>
  <c r="M25" i="21"/>
  <c r="L28" i="21"/>
  <c r="M33" i="21"/>
  <c r="L36" i="21"/>
  <c r="O19" i="21"/>
  <c r="N22" i="21"/>
  <c r="O27" i="21"/>
  <c r="N30" i="21"/>
  <c r="O35" i="21"/>
  <c r="N38" i="21"/>
  <c r="I39" i="11"/>
  <c r="K16" i="21"/>
  <c r="J35" i="21"/>
  <c r="L21" i="21"/>
  <c r="J33" i="21"/>
  <c r="K18" i="21"/>
  <c r="J21" i="21"/>
  <c r="K26" i="21"/>
  <c r="J29" i="21"/>
  <c r="K34" i="21"/>
  <c r="J37" i="21"/>
  <c r="M20" i="21"/>
  <c r="L23" i="21"/>
  <c r="M28" i="21"/>
  <c r="L31" i="21"/>
  <c r="M36" i="21"/>
  <c r="L39" i="21"/>
  <c r="N17" i="21"/>
  <c r="O22" i="21"/>
  <c r="N25" i="21"/>
  <c r="O30" i="21"/>
  <c r="N33" i="21"/>
  <c r="O38" i="21"/>
  <c r="J16" i="21"/>
  <c r="BJ8" i="17"/>
  <c r="J24" i="21"/>
  <c r="BJ16" i="17"/>
  <c r="J32" i="21"/>
  <c r="BJ24" i="17"/>
  <c r="J40" i="21"/>
  <c r="L18" i="21"/>
  <c r="BJ53" i="17"/>
  <c r="L26" i="21"/>
  <c r="BJ61" i="17"/>
  <c r="L34" i="21"/>
  <c r="BJ69" i="17"/>
  <c r="BJ90" i="17"/>
  <c r="N20" i="21"/>
  <c r="BJ98" i="17"/>
  <c r="N28" i="21"/>
  <c r="BJ106" i="17"/>
  <c r="N36" i="21"/>
  <c r="J19" i="21"/>
  <c r="K32" i="21"/>
  <c r="M26" i="21"/>
  <c r="L29" i="21"/>
  <c r="M34" i="21"/>
  <c r="L37" i="21"/>
  <c r="O20" i="21"/>
  <c r="N23" i="21"/>
  <c r="O28" i="21"/>
  <c r="N31" i="21"/>
  <c r="O36" i="21"/>
  <c r="N39" i="21"/>
  <c r="BJ6" i="17"/>
  <c r="J22" i="21"/>
  <c r="BJ14" i="17"/>
  <c r="J30" i="21"/>
  <c r="BJ22" i="17"/>
  <c r="J38" i="21"/>
  <c r="L16" i="21"/>
  <c r="BJ51" i="17"/>
  <c r="L24" i="21"/>
  <c r="BJ59" i="17"/>
  <c r="L32" i="21"/>
  <c r="BJ67" i="17"/>
  <c r="L40" i="21"/>
  <c r="N18" i="21"/>
  <c r="BJ96" i="17"/>
  <c r="N26" i="21"/>
  <c r="BJ104" i="17"/>
  <c r="N34" i="21"/>
  <c r="BJ112" i="17"/>
  <c r="Q18" i="21" l="1"/>
  <c r="P22" i="21"/>
  <c r="P35" i="21"/>
  <c r="P21" i="21"/>
  <c r="P38" i="21"/>
  <c r="P33" i="21"/>
  <c r="P19" i="21"/>
  <c r="P30" i="21"/>
  <c r="P37" i="21"/>
  <c r="I35" i="21"/>
  <c r="I21" i="21"/>
  <c r="I24" i="21"/>
  <c r="I30" i="21"/>
  <c r="I18" i="21"/>
  <c r="I40" i="21"/>
  <c r="I33" i="21"/>
  <c r="I32" i="21"/>
  <c r="I27" i="21"/>
  <c r="I38" i="21"/>
  <c r="I19" i="21"/>
  <c r="I22" i="21"/>
  <c r="I20" i="21"/>
  <c r="I29" i="21"/>
  <c r="I16" i="21"/>
  <c r="I37" i="21"/>
  <c r="I25" i="21"/>
  <c r="I23" i="21"/>
  <c r="I36" i="21"/>
  <c r="I28" i="21"/>
  <c r="I31" i="21"/>
  <c r="I26" i="21"/>
  <c r="I17" i="21"/>
  <c r="I34" i="21"/>
  <c r="I39" i="21"/>
  <c r="M29" i="21"/>
  <c r="O25" i="21"/>
  <c r="K29" i="21"/>
  <c r="Q34" i="21"/>
  <c r="O32" i="21"/>
  <c r="Q32" i="21" s="1"/>
  <c r="O16" i="21"/>
  <c r="Q16" i="21" s="1"/>
  <c r="K36" i="21"/>
  <c r="Q36" i="21" s="1"/>
  <c r="K20" i="21"/>
  <c r="Q20" i="21" s="1"/>
  <c r="O31" i="21"/>
  <c r="M31" i="21"/>
  <c r="P40" i="21"/>
  <c r="P24" i="21"/>
  <c r="P26" i="21"/>
  <c r="K25" i="21"/>
  <c r="M38" i="21"/>
  <c r="Q38" i="21" s="1"/>
  <c r="M22" i="21"/>
  <c r="Q22" i="21" s="1"/>
  <c r="M19" i="21"/>
  <c r="P20" i="21"/>
  <c r="P34" i="21"/>
  <c r="K17" i="21"/>
  <c r="P31" i="21"/>
  <c r="P27" i="21"/>
  <c r="K35" i="21"/>
  <c r="Q35" i="21" s="1"/>
  <c r="K19" i="21"/>
  <c r="P29" i="21"/>
  <c r="O37" i="21"/>
  <c r="O21" i="21"/>
  <c r="P36" i="21"/>
  <c r="M37" i="21"/>
  <c r="M21" i="21"/>
  <c r="O33" i="21"/>
  <c r="Q33" i="21" s="1"/>
  <c r="O17" i="21"/>
  <c r="K37" i="21"/>
  <c r="K21" i="21"/>
  <c r="P25" i="21"/>
  <c r="O40" i="21"/>
  <c r="Q40" i="21" s="1"/>
  <c r="O24" i="21"/>
  <c r="Q24" i="21" s="1"/>
  <c r="K28" i="21"/>
  <c r="Q28" i="21" s="1"/>
  <c r="P17" i="21"/>
  <c r="O39" i="21"/>
  <c r="O23" i="21"/>
  <c r="M39" i="21"/>
  <c r="M23" i="21"/>
  <c r="P32" i="21"/>
  <c r="P16" i="21"/>
  <c r="M30" i="21"/>
  <c r="Q30" i="21" s="1"/>
  <c r="P39" i="21"/>
  <c r="M27" i="21"/>
  <c r="P23" i="21"/>
  <c r="P28" i="21"/>
  <c r="K27" i="21"/>
  <c r="Q26" i="21"/>
  <c r="P18" i="21"/>
  <c r="O29" i="21"/>
  <c r="Q23" i="21" l="1"/>
  <c r="Q31" i="21"/>
  <c r="Q39" i="21"/>
  <c r="Q27" i="21"/>
  <c r="Q21" i="21"/>
  <c r="Q25" i="21"/>
  <c r="Q37" i="21"/>
  <c r="Q29" i="21"/>
  <c r="Q19" i="21"/>
  <c r="Q17" i="21"/>
  <c r="G39" i="11" l="1"/>
</calcChain>
</file>

<file path=xl/sharedStrings.xml><?xml version="1.0" encoding="utf-8"?>
<sst xmlns="http://schemas.openxmlformats.org/spreadsheetml/2006/main" count="679" uniqueCount="162">
  <si>
    <t>NOMBRE                          ALUMNA-ALUMNO</t>
  </si>
  <si>
    <t>ASISTENCIA DEL__17__DE___Marzo______AL__13___DE_____Junio_____</t>
  </si>
  <si>
    <t>PRIMER TRIMESTRE</t>
  </si>
  <si>
    <t>OBSERVACIONES</t>
  </si>
  <si>
    <t>TOTAL AUSENCIAS</t>
  </si>
  <si>
    <t>TOTAL TARDANZAS</t>
  </si>
  <si>
    <t>ASISTENCIA DEL__23__DE____JUNIO____AL__12___DE___SEPTIEMBRE__</t>
  </si>
  <si>
    <t>SEGUNDO TRIMESTRE</t>
  </si>
  <si>
    <t>.</t>
  </si>
  <si>
    <t>ASISTENCIA DEL___22__DE___SEPTIEMBRE__AL__19__DE___DICIEMBRE___</t>
  </si>
  <si>
    <t>TERCER TRIMESTRE</t>
  </si>
  <si>
    <t>Escuela Cerro Cacicon</t>
  </si>
  <si>
    <t>Registro de Asistencia</t>
  </si>
  <si>
    <t>y Evaluación</t>
  </si>
  <si>
    <t>para Docentes de Centros</t>
  </si>
  <si>
    <t>Educativos Oficiales</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</si>
  <si>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</si>
  <si>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</si>
  <si>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</si>
  <si>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</si>
  <si>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</si>
  <si>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</si>
  <si>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</si>
  <si>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</si>
  <si>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</si>
  <si>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</si>
  <si>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</si>
  <si>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</si>
  <si>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</si>
  <si>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</si>
  <si>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</si>
  <si>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</si>
  <si>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</si>
  <si>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</si>
  <si>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</si>
  <si>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</si>
  <si>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</si>
  <si>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</si>
  <si>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</si>
  <si>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</si>
  <si>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</si>
  <si>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Teléfono:</t>
  </si>
  <si>
    <t>Correo Electrónico:</t>
  </si>
  <si>
    <t>elmer.tugri7@meduca.edu.pa</t>
  </si>
  <si>
    <t>Regional:</t>
  </si>
  <si>
    <t>Comarca Ngabe Bugle</t>
  </si>
  <si>
    <t>Distrito de:</t>
  </si>
  <si>
    <t>MÜNA</t>
  </si>
  <si>
    <t>Corregimiento de:</t>
  </si>
  <si>
    <t>MARACA</t>
  </si>
  <si>
    <t>Zona Escolar:</t>
  </si>
  <si>
    <t>Profesor:</t>
  </si>
  <si>
    <t>Grados:</t>
  </si>
  <si>
    <t>PERIODO</t>
  </si>
  <si>
    <t>HORAS</t>
  </si>
  <si>
    <t>LUNES</t>
  </si>
  <si>
    <t>MARTES</t>
  </si>
  <si>
    <t>MIERCOLES</t>
  </si>
  <si>
    <t>JUEVES</t>
  </si>
  <si>
    <t>VIERNES</t>
  </si>
  <si>
    <t>I</t>
  </si>
  <si>
    <t>II</t>
  </si>
  <si>
    <t>III</t>
  </si>
  <si>
    <t>IV</t>
  </si>
  <si>
    <t>RECESO ACADÉMICO</t>
  </si>
  <si>
    <t>V</t>
  </si>
  <si>
    <t>VI</t>
  </si>
  <si>
    <t>VII</t>
  </si>
  <si>
    <t>VIII</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</si>
  <si>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</si>
  <si>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</si>
  <si>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</si>
  <si>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</si>
  <si>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</si>
  <si>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</si>
  <si>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</si>
  <si>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</si>
  <si>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</si>
  <si>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</si>
  <si>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</si>
  <si>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</si>
  <si>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</si>
  <si>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</si>
  <si>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</si>
  <si>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</si>
  <si>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</si>
  <si>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</si>
  <si>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</si>
  <si>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</si>
  <si>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</si>
  <si>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</si>
  <si>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</si>
  <si>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</si>
  <si>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</si>
  <si>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</si>
  <si>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</si>
  <si>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</si>
  <si>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</si>
  <si>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</si>
  <si>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</si>
  <si>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</si>
  <si>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</si>
  <si>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</si>
  <si>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</si>
  <si>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</si>
  <si>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</si>
  <si>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</si>
  <si>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HOJA MAESTRO — ESCUELA CERRO CACICÓN · AÑO LECTIVO 2026</t>
  </si>
  <si>
    <t>Ingresa aquí los nombres de cada grado. Se copiarán automáticamente a TODAS las hojas.</t>
  </si>
  <si>
    <t>No.</t>
  </si>
  <si>
    <t>APELLIDO, NOMBRE</t>
  </si>
  <si>
    <t>⚠ IMPORTANTE: Solo edita esta hoja para nombres. Todas las demás hojas se actualizan automáticamente.</t>
  </si>
  <si>
    <t>7°</t>
  </si>
  <si>
    <t>No</t>
  </si>
  <si>
    <t>ESTADO</t>
  </si>
  <si>
    <t>FINAL</t>
  </si>
  <si>
    <t>PROMEDIO DEL GRUPO</t>
  </si>
  <si>
    <t>CALIFICACIONES-PRIMER TRIMESTRE</t>
  </si>
  <si>
    <t>CALIFICACIONES-SEGUNDO TRIMESTRE</t>
  </si>
  <si>
    <t>CALIFICACIONES-TERCER TIMESTRE</t>
  </si>
  <si>
    <t>CALIFICACIONES-TERCER BIMESTRE</t>
  </si>
  <si>
    <t>PROMEDIO</t>
  </si>
  <si>
    <t>CALIFICACIÓN           TRIMESTRAL</t>
  </si>
  <si>
    <t xml:space="preserve">MINISTERIO DE EDUCACION </t>
  </si>
  <si>
    <t>ESCUELA CERRO CACICON</t>
  </si>
  <si>
    <t>CACICON, COMARCA NGABE BUGLE</t>
  </si>
  <si>
    <t>AÑO LECTIVO:</t>
  </si>
  <si>
    <t xml:space="preserve">GRUPO: </t>
  </si>
  <si>
    <t xml:space="preserve">ASIGNATURA: </t>
  </si>
  <si>
    <t>INGLES</t>
  </si>
  <si>
    <t>PROFESOR:</t>
  </si>
  <si>
    <t>ELMER TUGRI</t>
  </si>
  <si>
    <t>TRIMESTRES</t>
  </si>
  <si>
    <t>AUSENCIAS/TARDANZAS</t>
  </si>
  <si>
    <t xml:space="preserve">TOTAL FINAL </t>
  </si>
  <si>
    <t xml:space="preserve"> CEDULA</t>
  </si>
  <si>
    <t>NOTA FINAL</t>
  </si>
  <si>
    <t>A</t>
  </si>
  <si>
    <t>T</t>
  </si>
  <si>
    <t>CUADRO DE NOTAS FINALES —  ___ ° GRADO · ESCUELA _______________ 202_</t>
  </si>
  <si>
    <t>INFORME DE CALIFICACIONES, AUSENCIAS Y TARDANZAS</t>
  </si>
  <si>
    <t xml:space="preserve">NOTAS </t>
  </si>
  <si>
    <t>NOTAS</t>
  </si>
  <si>
    <t>ESPAÑOL</t>
  </si>
  <si>
    <t>Matemática</t>
  </si>
  <si>
    <t>C.SOCIALES</t>
  </si>
  <si>
    <t>C.NATURALES</t>
  </si>
  <si>
    <t>RELIGIÓN</t>
  </si>
  <si>
    <t>E.ARTISTICAS</t>
  </si>
  <si>
    <t>TECNOLOGIA</t>
  </si>
  <si>
    <t>E.FISICA</t>
  </si>
  <si>
    <t>Religión</t>
  </si>
  <si>
    <t>Artística</t>
  </si>
  <si>
    <t>E. FISICA</t>
  </si>
  <si>
    <t>Nota: PRIMER TRIMESTRE</t>
  </si>
  <si>
    <t>Nota: SEGUNDO TRIMESTRE</t>
  </si>
  <si>
    <t>Nota: TERCER TRIMESTRE</t>
  </si>
  <si>
    <t>CEDULA</t>
  </si>
  <si>
    <t xml:space="preserve">Maestro  Elmer Tugri </t>
  </si>
  <si>
    <t xml:space="preserve"> Maestro de Grado</t>
  </si>
  <si>
    <t>Grupo: 1°</t>
  </si>
  <si>
    <t>1° GRADO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</si>
</sst>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_-* #,##0.00000_-;\-* #,##0.00000_-;_-* &quot;-&quot;??_-;_-@_-"/>
    <numFmt numFmtId="166" formatCode="_-* #,##0.0000000000000_-;\-* #,##0.0000000000000_-;_-* &quot;-&quot;??_-;_-@_-"/>
  </numFmts>
  <fonts count="37">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color rgb="FF1F3864"/>
      <name val="Arial"/>
    </font>
    <font>
      <b/>
      <sz val="8"/>
      <color rgb="FFFFFFFF"/>
      <name val="Arial"/>
      <family val="2"/>
    </font>
    <font>
      <i/>
      <sz val="9"/>
      <color rgb="FF1F3864"/>
      <name val="Arial"/>
      <family val="2"/>
    </font>
    <font>
      <b/>
      <sz val="11"/>
      <color rgb="FFFFFFFF"/>
      <name val="Arial"/>
      <family val="2"/>
    </font>
  </fonts>
  <fills count="1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C55A11"/>
      </patternFill>
    </fill>
    <fill>
      <patternFill patternType="solid">
        <fgColor rgb="FFFFFFFF"/>
      </patternFill>
    </fill>
    <fill>
      <patternFill patternType="solid">
        <fgColor rgb="FFF2F2F2"/>
      </patternFill>
    </fill>
    <fill>
      <patternFill patternType="solid">
        <fgColor rgb="FFBDD7EE"/>
      </patternFill>
    </fill>
  </fills>
  <borders count="29">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s>
  <cellStyleXfs count="3">
    <xf numFmtId="0" fontId="0" fillId="0" borderId="0"/>
    <xf numFmtId="43" fontId="13" fillId="0" borderId="0"/>
    <xf numFmtId="0" fontId="18" fillId="0" borderId="0"/>
  </cellStyleXfs>
  <cellXfs count="216">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9" fillId="0" borderId="6" xfId="0" applyFont="1" applyBorder="1" applyAlignment="1">
      <alignment horizontal="center"/>
    </xf>
    <xf numFmtId="0" fontId="7"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6"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6" xfId="0"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8" xfId="0" applyBorder="1" applyAlignment="1">
      <alignment vertical="center"/>
    </xf>
    <xf numFmtId="0" fontId="0" fillId="0" borderId="0" xfId="0" applyAlignment="1">
      <alignment vertical="center"/>
    </xf>
    <xf numFmtId="0" fontId="2" fillId="0" borderId="18"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6" xfId="0" applyFont="1" applyBorder="1"/>
    <xf numFmtId="0" fontId="12" fillId="0" borderId="2" xfId="0" applyFont="1" applyBorder="1" applyAlignment="1">
      <alignment horizontal="center" vertical="center" wrapText="1"/>
    </xf>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0" fontId="26" fillId="6" borderId="21" xfId="0" applyFont="1" applyFill="1" applyBorder="1" applyAlignment="1">
      <alignment horizontal="center" vertical="center"/>
    </xf>
    <xf numFmtId="0" fontId="27" fillId="8" borderId="21" xfId="0" applyFont="1" applyFill="1" applyBorder="1" applyAlignment="1">
      <alignment horizontal="center" vertical="center"/>
    </xf>
    <xf numFmtId="0" fontId="28" fillId="8" borderId="21" xfId="0" applyFont="1" applyFill="1" applyBorder="1" applyAlignment="1">
      <alignment horizontal="left" vertical="center"/>
    </xf>
    <xf numFmtId="0" fontId="27" fillId="9" borderId="21" xfId="0" applyFont="1" applyFill="1" applyBorder="1" applyAlignment="1">
      <alignment horizontal="center" vertical="center"/>
    </xf>
    <xf numFmtId="0" fontId="28" fillId="9" borderId="21" xfId="0" applyFont="1" applyFill="1" applyBorder="1" applyAlignment="1">
      <alignment horizontal="left" vertical="center"/>
    </xf>
    <xf numFmtId="0" fontId="28" fillId="9" borderId="21" xfId="0" applyFont="1" applyFill="1" applyBorder="1" applyAlignment="1">
      <alignment horizontal="center" vertical="center"/>
    </xf>
    <xf numFmtId="0" fontId="28" fillId="8" borderId="21" xfId="0" applyFont="1" applyFill="1" applyBorder="1" applyAlignment="1">
      <alignment horizontal="center" vertical="center"/>
    </xf>
    <xf numFmtId="0" fontId="33" fillId="10" borderId="21" xfId="0" applyFont="1" applyFill="1" applyBorder="1" applyAlignment="1">
      <alignment horizontal="center" vertical="center"/>
    </xf>
    <xf numFmtId="0" fontId="30" fillId="4" borderId="0" xfId="0" applyFont="1" applyFill="1" applyAlignment="1">
      <alignment vertical="center"/>
    </xf>
    <xf numFmtId="0" fontId="0" fillId="0" borderId="25" xfId="0" applyBorder="1"/>
    <xf numFmtId="0" fontId="0" fillId="3" borderId="0" xfId="0" applyFill="1"/>
    <xf numFmtId="0" fontId="6" fillId="3" borderId="0" xfId="0" applyFont="1" applyFill="1" applyAlignment="1">
      <alignment vertical="center"/>
    </xf>
    <xf numFmtId="0" fontId="34" fillId="4" borderId="22" xfId="0" applyFont="1" applyFill="1" applyBorder="1" applyAlignment="1">
      <alignment horizontal="center" vertical="center" textRotation="90" wrapText="1"/>
    </xf>
    <xf numFmtId="0" fontId="36" fillId="4" borderId="0" xfId="0" applyFont="1" applyFill="1" applyAlignment="1">
      <alignment horizontal="center" vertical="center"/>
    </xf>
    <xf numFmtId="0" fontId="32" fillId="6" borderId="21" xfId="0" applyFont="1" applyFill="1" applyBorder="1" applyAlignment="1">
      <alignment horizontal="center" vertical="center"/>
    </xf>
    <xf numFmtId="0" fontId="0" fillId="0" borderId="22" xfId="0" applyBorder="1"/>
    <xf numFmtId="0" fontId="35" fillId="5" borderId="26" xfId="0" applyFont="1" applyFill="1" applyBorder="1" applyAlignment="1">
      <alignment horizontal="center" vertical="center"/>
    </xf>
    <xf numFmtId="0" fontId="31" fillId="5" borderId="26" xfId="0" applyFont="1" applyFill="1" applyBorder="1" applyAlignment="1">
      <alignment horizontal="center" vertical="center"/>
    </xf>
    <xf numFmtId="0" fontId="32" fillId="7" borderId="28" xfId="0" applyFont="1" applyFill="1" applyBorder="1" applyAlignment="1">
      <alignment horizontal="center" vertical="center" wrapText="1"/>
    </xf>
    <xf numFmtId="0" fontId="32" fillId="7" borderId="23" xfId="0" applyFont="1" applyFill="1" applyBorder="1" applyAlignment="1">
      <alignment horizontal="center" vertical="center" wrapText="1"/>
    </xf>
    <xf numFmtId="0" fontId="32" fillId="4" borderId="21" xfId="0" applyFont="1" applyFill="1" applyBorder="1" applyAlignment="1">
      <alignment horizontal="center" vertical="center"/>
    </xf>
    <xf numFmtId="0" fontId="0" fillId="0" borderId="23" xfId="0" applyBorder="1"/>
    <xf numFmtId="0" fontId="14" fillId="0" borderId="0" xfId="0" applyFont="1" applyAlignment="1">
      <alignment horizontal="center"/>
    </xf>
    <xf numFmtId="0" fontId="0" fillId="0" borderId="0" xfId="0"/>
    <xf numFmtId="0" fontId="15" fillId="0" borderId="0" xfId="0" applyFont="1" applyAlignment="1">
      <alignment horizontal="right" vertical="center"/>
    </xf>
    <xf numFmtId="0" fontId="16" fillId="0" borderId="0" xfId="0" applyFont="1" applyAlignment="1">
      <alignment horizontal="right"/>
    </xf>
    <xf numFmtId="0" fontId="17" fillId="0" borderId="0" xfId="0" applyFont="1" applyAlignment="1">
      <alignment horizontal="center" vertical="center"/>
    </xf>
    <xf numFmtId="0" fontId="0" fillId="0" borderId="16" xfId="0" applyBorder="1" applyAlignment="1">
      <alignment horizontal="center"/>
    </xf>
    <xf numFmtId="0" fontId="0" fillId="0" borderId="16" xfId="0" applyBorder="1"/>
    <xf numFmtId="0" fontId="22" fillId="0" borderId="16" xfId="0" applyFont="1" applyBorder="1" applyAlignment="1">
      <alignment horizontal="center"/>
    </xf>
    <xf numFmtId="0" fontId="18" fillId="0" borderId="16" xfId="2" applyBorder="1" applyAlignment="1">
      <alignment horizontal="center"/>
    </xf>
    <xf numFmtId="0" fontId="0" fillId="0" borderId="2" xfId="0" applyBorder="1" applyAlignment="1">
      <alignment horizontal="center" vertical="center"/>
    </xf>
    <xf numFmtId="0" fontId="0" fillId="0" borderId="12" xfId="0" applyBorder="1"/>
    <xf numFmtId="0" fontId="0" fillId="0" borderId="10" xfId="0" applyBorder="1"/>
    <xf numFmtId="0" fontId="0" fillId="0" borderId="11" xfId="0" applyBorder="1"/>
    <xf numFmtId="0" fontId="8" fillId="0" borderId="2" xfId="0" applyFont="1" applyBorder="1" applyAlignment="1">
      <alignment horizontal="center" vertical="center" wrapText="1"/>
    </xf>
    <xf numFmtId="0" fontId="17" fillId="0" borderId="2" xfId="0" applyFont="1"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0" borderId="19" xfId="0" applyBorder="1"/>
    <xf numFmtId="0" fontId="0" fillId="0" borderId="14" xfId="0" applyBorder="1"/>
    <xf numFmtId="0" fontId="2" fillId="0" borderId="0" xfId="0" applyFont="1" applyAlignment="1">
      <alignment horizontal="center" vertical="center"/>
    </xf>
    <xf numFmtId="0" fontId="2" fillId="0" borderId="0" xfId="0" applyFont="1"/>
    <xf numFmtId="0" fontId="2" fillId="0" borderId="2" xfId="0" applyFont="1" applyBorder="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29" fillId="0" borderId="0" xfId="0" applyFont="1" applyAlignment="1">
      <alignment horizontal="center" vertical="center"/>
    </xf>
    <xf numFmtId="0" fontId="25" fillId="6" borderId="27" xfId="0" applyFont="1" applyFill="1" applyBorder="1" applyAlignment="1">
      <alignment horizontal="center" vertical="center"/>
    </xf>
    <xf numFmtId="0" fontId="25" fillId="6" borderId="24" xfId="0" applyFont="1" applyFill="1" applyBorder="1" applyAlignment="1">
      <alignment horizontal="center" vertical="center"/>
    </xf>
    <xf numFmtId="0" fontId="25" fillId="6" borderId="22" xfId="0" applyFont="1" applyFill="1" applyBorder="1" applyAlignment="1">
      <alignment horizontal="center" vertical="center"/>
    </xf>
    <xf numFmtId="0" fontId="26" fillId="6" borderId="27" xfId="0" applyFont="1" applyFill="1" applyBorder="1" applyAlignment="1">
      <alignment horizontal="center" vertical="center"/>
    </xf>
    <xf numFmtId="0" fontId="26" fillId="6" borderId="24" xfId="0" applyFont="1" applyFill="1" applyBorder="1" applyAlignment="1">
      <alignment horizontal="center" vertical="center"/>
    </xf>
    <xf numFmtId="0" fontId="26" fillId="6" borderId="22" xfId="0" applyFont="1" applyFill="1" applyBorder="1" applyAlignment="1">
      <alignment horizontal="center" vertical="center"/>
    </xf>
    <xf numFmtId="0" fontId="28" fillId="8" borderId="27" xfId="0" applyFont="1" applyFill="1" applyBorder="1" applyAlignment="1">
      <alignment horizontal="center" vertical="center"/>
    </xf>
    <xf numFmtId="0" fontId="28" fillId="8" borderId="24" xfId="0" applyFont="1" applyFill="1" applyBorder="1" applyAlignment="1">
      <alignment horizontal="center" vertical="center"/>
    </xf>
    <xf numFmtId="0" fontId="28" fillId="8" borderId="22" xfId="0" applyFont="1" applyFill="1" applyBorder="1" applyAlignment="1">
      <alignment horizontal="center" vertical="center"/>
    </xf>
    <xf numFmtId="0" fontId="28" fillId="9" borderId="27" xfId="0" applyFont="1" applyFill="1" applyBorder="1" applyAlignment="1">
      <alignment horizontal="center" vertical="center"/>
    </xf>
    <xf numFmtId="0" fontId="28" fillId="9" borderId="24" xfId="0" applyFont="1" applyFill="1" applyBorder="1" applyAlignment="1">
      <alignment horizontal="center" vertical="center"/>
    </xf>
    <xf numFmtId="0" fontId="28" fillId="9" borderId="22" xfId="0" applyFont="1" applyFill="1" applyBorder="1" applyAlignment="1">
      <alignment horizontal="center" vertical="center"/>
    </xf>
    <xf numFmtId="0" fontId="23" fillId="4" borderId="0" xfId="0" applyFont="1" applyFill="1" applyAlignment="1">
      <alignment horizontal="center" vertical="center"/>
    </xf>
    <xf numFmtId="0" fontId="24" fillId="5" borderId="26" xfId="0" applyFont="1" applyFill="1" applyBorder="1" applyAlignment="1">
      <alignment horizontal="center" vertical="center"/>
    </xf>
    <xf numFmtId="0" fontId="0" fillId="0" borderId="0" xfId="0" applyAlignment="1">
      <alignment horizontal="center"/>
    </xf>
    <xf numFmtId="14" fontId="3" fillId="0" borderId="2"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20" xfId="0" applyBorder="1"/>
    <xf numFmtId="0" fontId="0" fillId="0" borderId="2" xfId="0" applyBorder="1" applyAlignment="1">
      <alignment horizontal="center"/>
    </xf>
    <xf numFmtId="14" fontId="3" fillId="0" borderId="3" xfId="0" applyNumberFormat="1" applyFont="1" applyBorder="1" applyAlignment="1">
      <alignment horizontal="center" vertical="center" wrapText="1"/>
    </xf>
    <xf numFmtId="14" fontId="2" fillId="0" borderId="2" xfId="0" applyNumberFormat="1" applyFont="1" applyBorder="1" applyAlignment="1">
      <alignment horizontal="center" vertical="center" wrapText="1"/>
    </xf>
    <xf numFmtId="0" fontId="0" fillId="0" borderId="15" xfId="0" applyBorder="1"/>
    <xf numFmtId="0" fontId="0" fillId="0" borderId="17" xfId="0" applyBorder="1"/>
    <xf numFmtId="0" fontId="4" fillId="0" borderId="2" xfId="0" applyFont="1" applyBorder="1" applyAlignment="1">
      <alignment horizontal="center"/>
    </xf>
    <xf numFmtId="0" fontId="0" fillId="0" borderId="2" xfId="0" applyBorder="1"/>
    <xf numFmtId="0" fontId="4" fillId="0" borderId="0" xfId="0" applyFont="1" applyAlignment="1">
      <alignment horizontal="center" vertical="center"/>
    </xf>
    <xf numFmtId="165" fontId="4" fillId="3" borderId="25" xfId="1" applyNumberFormat="1" applyFont="1" applyFill="1" applyBorder="1" applyAlignment="1">
      <alignment horizontal="left" vertical="top" wrapText="1"/>
    </xf>
    <xf numFmtId="0" fontId="0" fillId="3" borderId="5" xfId="0" applyFill="1" applyBorder="1"/>
    <xf numFmtId="0" fontId="0" fillId="3" borderId="11" xfId="0" applyFill="1" applyBorder="1"/>
    <xf numFmtId="0" fontId="5" fillId="0" borderId="0" xfId="0" applyFont="1" applyAlignment="1">
      <alignment horizontal="center" vertical="center" textRotation="90"/>
    </xf>
    <xf numFmtId="166" fontId="4" fillId="3" borderId="25" xfId="1" applyNumberFormat="1" applyFont="1" applyFill="1" applyBorder="1" applyAlignment="1">
      <alignment horizontal="left" vertical="top" wrapText="1"/>
    </xf>
    <xf numFmtId="164" fontId="0" fillId="3" borderId="25" xfId="1" applyNumberFormat="1" applyFont="1" applyFill="1" applyBorder="1" applyAlignment="1">
      <alignment horizontal="left" vertical="top" wrapText="1"/>
    </xf>
    <xf numFmtId="0" fontId="1" fillId="0" borderId="0" xfId="0" applyFont="1" applyAlignment="1">
      <alignment horizontal="center" vertical="center" wrapText="1"/>
    </xf>
    <xf numFmtId="166" fontId="0" fillId="0" borderId="0" xfId="1" applyNumberFormat="1" applyFont="1"/>
    <xf numFmtId="164" fontId="0" fillId="0" borderId="0" xfId="1" applyNumberFormat="1" applyFont="1"/>
    <xf numFmtId="14" fontId="3" fillId="0" borderId="0" xfId="0" applyNumberFormat="1" applyFont="1" applyAlignment="1">
      <alignment horizontal="center" vertical="center" wrapText="1"/>
    </xf>
    <xf numFmtId="164" fontId="13" fillId="3" borderId="25" xfId="1" applyNumberFormat="1" applyFill="1" applyBorder="1" applyAlignment="1">
      <alignment horizontal="left" vertical="top" wrapText="1"/>
    </xf>
    <xf numFmtId="0" fontId="1" fillId="0" borderId="2" xfId="0" applyFont="1" applyBorder="1" applyAlignment="1">
      <alignment horizontal="distributed" vertical="distributed" textRotation="90" shrinkToFit="1"/>
    </xf>
    <xf numFmtId="164" fontId="1" fillId="0" borderId="2" xfId="0" applyNumberFormat="1" applyFont="1" applyBorder="1" applyAlignment="1">
      <alignment horizontal="distributed" vertical="distributed" textRotation="90" shrinkToFit="1"/>
    </xf>
    <xf numFmtId="0" fontId="1" fillId="0" borderId="11" xfId="0" applyFont="1" applyBorder="1"/>
    <xf numFmtId="164" fontId="4" fillId="0" borderId="6" xfId="0" applyNumberFormat="1" applyFont="1" applyBorder="1" applyAlignment="1">
      <alignment horizontal="center" textRotation="90"/>
    </xf>
    <xf numFmtId="164" fontId="4" fillId="0" borderId="5" xfId="0" applyNumberFormat="1" applyFont="1" applyBorder="1" applyAlignment="1">
      <alignment horizontal="center" textRotation="90"/>
    </xf>
    <xf numFmtId="164" fontId="4" fillId="0" borderId="11" xfId="0" applyNumberFormat="1" applyFont="1" applyBorder="1" applyAlignment="1">
      <alignment horizontal="center" textRotation="90"/>
    </xf>
    <xf numFmtId="0" fontId="4" fillId="0" borderId="2" xfId="0" applyFont="1" applyBorder="1" applyAlignment="1">
      <alignment horizontal="center" vertical="center"/>
    </xf>
    <xf numFmtId="0" fontId="4" fillId="0" borderId="0" xfId="0" applyFont="1" applyAlignment="1">
      <alignment horizontal="center"/>
    </xf>
    <xf numFmtId="164" fontId="0" fillId="0" borderId="0" xfId="0" applyNumberFormat="1"/>
    <xf numFmtId="0" fontId="0" fillId="3" borderId="25" xfId="0" applyFill="1" applyBorder="1" applyAlignment="1">
      <alignment horizontal="left" vertical="top" wrapText="1"/>
    </xf>
    <xf numFmtId="14" fontId="2" fillId="0" borderId="0" xfId="0" applyNumberFormat="1" applyFont="1" applyAlignment="1">
      <alignment horizontal="center" vertical="center" wrapText="1"/>
    </xf>
    <xf numFmtId="165" fontId="0" fillId="0" borderId="0" xfId="1" applyNumberFormat="1" applyFont="1" applyAlignment="1">
      <alignment horizontal="left"/>
    </xf>
    <xf numFmtId="0" fontId="0" fillId="0" borderId="0" xfId="0" applyAlignment="1">
      <alignment horizontal="left"/>
    </xf>
    <xf numFmtId="166" fontId="0" fillId="3" borderId="25" xfId="1" applyNumberFormat="1" applyFont="1" applyFill="1" applyBorder="1" applyAlignment="1">
      <alignment horizontal="left" vertical="top" wrapText="1"/>
    </xf>
    <xf numFmtId="164" fontId="0" fillId="0" borderId="0" xfId="1" applyNumberFormat="1" applyFont="1" applyAlignment="1">
      <alignment horizontal="center"/>
    </xf>
    <xf numFmtId="0" fontId="1" fillId="0" borderId="0" xfId="0" applyFont="1" applyAlignment="1">
      <alignment horizontal="distributed" vertical="distributed" textRotation="90" shrinkToFit="1"/>
    </xf>
    <xf numFmtId="0" fontId="4" fillId="0" borderId="9" xfId="0" applyFont="1" applyBorder="1" applyAlignment="1">
      <alignment horizontal="center"/>
    </xf>
    <xf numFmtId="0" fontId="4" fillId="0" borderId="12" xfId="0" applyFont="1" applyBorder="1" applyAlignment="1">
      <alignment horizontal="center"/>
    </xf>
    <xf numFmtId="0" fontId="4" fillId="0" borderId="10" xfId="0" applyFont="1" applyBorder="1" applyAlignment="1">
      <alignment horizontal="center"/>
    </xf>
    <xf numFmtId="164" fontId="4" fillId="0" borderId="9" xfId="0" applyNumberFormat="1" applyFont="1" applyBorder="1" applyAlignment="1">
      <alignment horizontal="center"/>
    </xf>
    <xf numFmtId="164" fontId="4" fillId="0" borderId="12" xfId="0" applyNumberFormat="1" applyFont="1" applyBorder="1" applyAlignment="1">
      <alignment horizontal="center"/>
    </xf>
    <xf numFmtId="164" fontId="4" fillId="0" borderId="10" xfId="0" applyNumberFormat="1" applyFont="1" applyBorder="1" applyAlignment="1">
      <alignment horizontal="center"/>
    </xf>
    <xf numFmtId="164" fontId="4" fillId="0" borderId="13" xfId="0" applyNumberFormat="1" applyFont="1" applyBorder="1" applyAlignment="1">
      <alignment horizontal="center"/>
    </xf>
    <xf numFmtId="164" fontId="4" fillId="0" borderId="19" xfId="0" applyNumberFormat="1" applyFont="1" applyBorder="1" applyAlignment="1">
      <alignment horizontal="center"/>
    </xf>
    <xf numFmtId="164" fontId="4" fillId="0" borderId="14" xfId="0" applyNumberFormat="1" applyFont="1" applyBorder="1" applyAlignment="1">
      <alignment horizontal="center"/>
    </xf>
    <xf numFmtId="0" fontId="9" fillId="0" borderId="2" xfId="0" applyFont="1" applyBorder="1" applyAlignment="1">
      <alignment horizontal="center" wrapText="1"/>
    </xf>
    <xf numFmtId="0" fontId="9" fillId="0" borderId="2" xfId="0" applyFont="1" applyBorder="1" applyAlignment="1">
      <alignment horizontal="center" vertical="center"/>
    </xf>
    <xf numFmtId="0" fontId="9" fillId="0" borderId="0" xfId="0" applyFont="1" applyAlignment="1">
      <alignment horizontal="center" vertical="center"/>
    </xf>
    <xf numFmtId="0" fontId="9" fillId="2" borderId="25" xfId="0" applyFont="1" applyFill="1" applyBorder="1" applyAlignment="1">
      <alignment horizontal="left" vertical="center"/>
    </xf>
    <xf numFmtId="0" fontId="0" fillId="0" borderId="25" xfId="0" applyBorder="1"/>
    <xf numFmtId="0" fontId="9" fillId="0" borderId="2" xfId="0" applyFont="1" applyBorder="1" applyAlignment="1">
      <alignment horizontal="center"/>
    </xf>
    <xf numFmtId="0" fontId="6" fillId="3" borderId="25" xfId="0" applyFont="1" applyFill="1" applyBorder="1" applyAlignment="1">
      <alignment horizontal="center" vertical="center"/>
    </xf>
    <xf numFmtId="0" fontId="10" fillId="0" borderId="2" xfId="0" applyFont="1" applyBorder="1" applyAlignment="1">
      <alignment horizontal="center"/>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0" fillId="0" borderId="5" xfId="0" applyBorder="1"/>
    <xf numFmtId="0" fontId="8" fillId="0" borderId="2" xfId="0" applyFont="1" applyBorder="1" applyAlignment="1">
      <alignment horizontal="center"/>
    </xf>
    <xf numFmtId="0" fontId="9" fillId="3" borderId="5" xfId="0" applyFont="1" applyFill="1" applyBorder="1" applyAlignment="1">
      <alignment horizontal="center" vertical="center"/>
    </xf>
    <xf numFmtId="0" fontId="0" fillId="3" borderId="0" xfId="0" applyFill="1"/>
    <xf numFmtId="0" fontId="9" fillId="2" borderId="2" xfId="0" applyFont="1" applyFill="1" applyBorder="1" applyAlignment="1">
      <alignment horizontal="left" vertical="center"/>
    </xf>
    <xf numFmtId="0" fontId="9" fillId="0" borderId="2" xfId="0" applyFont="1" applyBorder="1" applyAlignment="1">
      <alignment horizontal="center" vertical="center" wrapText="1"/>
    </xf>
    <xf numFmtId="0" fontId="9" fillId="3" borderId="25" xfId="0" applyFont="1" applyFill="1" applyBorder="1" applyAlignment="1">
      <alignment horizontal="center" vertical="center"/>
    </xf>
    <xf numFmtId="0" fontId="11" fillId="0" borderId="2" xfId="0" applyFont="1" applyBorder="1" applyAlignment="1">
      <alignment horizontal="center" vertical="center" wrapText="1"/>
    </xf>
    <xf numFmtId="0" fontId="0" fillId="0" borderId="12" xfId="0" applyBorder="1" applyAlignment="1">
      <alignment horizontal="center" vertical="center"/>
    </xf>
    <xf numFmtId="0" fontId="0" fillId="0" borderId="10" xfId="0" applyBorder="1" applyAlignment="1">
      <alignment horizontal="center" vertical="center"/>
    </xf>
  </cellXfs>
  <cellStyles count="3">
    <cellStyle name="Hipervínculo" xfId="2" builtinId="8"/>
    <cellStyle name="Millares" xfId="1" builtinId="3"/>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EA9E54B6-70D4-46A1-839F-F86B1CF70737}"/>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52226BC6-9D27-405D-ADE2-BFC43821A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2BAC87BC-8C6E-4E35-81B2-E7DCA45CC427}"/>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E2E61256-72EF-4B36-92DE-2EEB1086AEA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9DD8F368-2738-48C2-B8EB-934AD3B2B79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A98AFB91-29C4-491C-8348-B70C99FE776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8302673-0BED-4123-97B5-06454B738666}"/>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3BBECFB4-7CEC-4961-9A08-6EBE49A1EE06}"/>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tabColor theme="0" tint="-0.249977111117893"/>
  </sheetPr>
  <dimension ref="A7:AD25"/>
  <sheetViews>
    <sheetView topLeftCell="A7" workbookViewId="0">
      <selection activeCell="Q25" sqref="Q25:AD25"/>
    </sheetView>
  </sheetViews>
  <sheetFormatPr baseColWidth="10" defaultRowHeight="14.4"/>
  <cols>
    <col min="1" max="39" width="2.6640625" customWidth="1"/>
  </cols>
  <sheetData>
    <row r="7" spans="1:30">
      <c r="L7" s="106"/>
      <c r="M7" s="107"/>
      <c r="N7" s="107"/>
      <c r="O7" s="107"/>
      <c r="P7" s="107"/>
      <c r="Q7" s="107"/>
      <c r="R7" s="107"/>
      <c r="S7" s="107"/>
      <c r="T7" s="107"/>
    </row>
    <row r="15" spans="1:30" ht="31.8" customHeight="1">
      <c r="A15" s="108" t="s">
        <v>12</v>
      </c>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c r="AA15" s="107"/>
      <c r="AB15" s="107"/>
      <c r="AC15" s="107"/>
      <c r="AD15" s="107"/>
    </row>
    <row r="16" spans="1:30" ht="31.8" customHeight="1">
      <c r="A16" s="108" t="s">
        <v>13</v>
      </c>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row>
    <row r="17" spans="1:30" ht="31.8" customHeight="1">
      <c r="A17" s="108" t="s">
        <v>14</v>
      </c>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c r="AA17" s="107"/>
      <c r="AB17" s="107"/>
      <c r="AC17" s="107"/>
      <c r="AD17" s="107"/>
    </row>
    <row r="18" spans="1:30" ht="31.8" customHeight="1">
      <c r="A18" s="108" t="s">
        <v>15</v>
      </c>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c r="AA18" s="107"/>
      <c r="AB18" s="107"/>
      <c r="AC18" s="107"/>
      <c r="AD18" s="107"/>
    </row>
    <row r="23" spans="1:30" ht="17.399999999999999" customHeight="1">
      <c r="Q23" s="109" t="s">
        <v>158</v>
      </c>
      <c r="R23" s="107"/>
      <c r="S23" s="107"/>
      <c r="T23" s="107"/>
      <c r="U23" s="107"/>
      <c r="V23" s="107"/>
      <c r="W23" s="107"/>
      <c r="X23" s="107"/>
      <c r="Y23" s="107"/>
      <c r="Z23" s="107"/>
      <c r="AA23" s="107"/>
      <c r="AB23" s="107"/>
      <c r="AC23" s="107"/>
      <c r="AD23" s="107"/>
    </row>
    <row r="24" spans="1:30" ht="17.399999999999999" customHeight="1">
      <c r="Q24" s="109" t="s">
        <v>159</v>
      </c>
      <c r="R24" s="107"/>
      <c r="S24" s="107"/>
      <c r="T24" s="107"/>
      <c r="U24" s="107"/>
      <c r="V24" s="107"/>
      <c r="W24" s="107"/>
      <c r="X24" s="107"/>
      <c r="Y24" s="107"/>
      <c r="Z24" s="107"/>
      <c r="AA24" s="107"/>
      <c r="AB24" s="107"/>
      <c r="AC24" s="107"/>
      <c r="AD24" s="107"/>
    </row>
    <row r="25" spans="1:30" ht="17.399999999999999" customHeight="1">
      <c r="Q25" s="109" t="s">
        <v>160</v>
      </c>
      <c r="R25" s="107"/>
      <c r="S25" s="107"/>
      <c r="T25" s="107"/>
      <c r="U25" s="107"/>
      <c r="V25" s="107"/>
      <c r="W25" s="107"/>
      <c r="X25" s="107"/>
      <c r="Y25" s="107"/>
      <c r="Z25" s="107"/>
      <c r="AA25" s="107"/>
      <c r="AB25" s="107"/>
      <c r="AC25" s="107"/>
      <c r="AD25" s="107"/>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theme="0" tint="-0.249977111117893"/>
  </sheetPr>
  <dimension ref="A4:AZ43"/>
  <sheetViews>
    <sheetView tabSelected="1" workbookViewId="0">
      <selection activeCell="O12" sqref="O12:AL12"/>
    </sheetView>
  </sheetViews>
  <sheetFormatPr baseColWidth="10" defaultRowHeight="14.4"/>
  <cols>
    <col min="1" max="1" width="6.44140625" customWidth="1"/>
    <col min="2" max="63" width="1.6640625" customWidth="1"/>
  </cols>
  <sheetData>
    <row r="4" spans="1:52" ht="18" customHeight="1">
      <c r="A4" s="110" t="s">
        <v>16</v>
      </c>
      <c r="B4" s="107"/>
      <c r="C4" s="107"/>
      <c r="D4" s="107"/>
      <c r="E4" s="107"/>
      <c r="F4" s="107"/>
      <c r="G4" s="107"/>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c r="AH4" s="107"/>
      <c r="AI4" s="107"/>
      <c r="AJ4" s="107"/>
      <c r="AK4" s="107"/>
      <c r="AL4" s="107"/>
      <c r="AM4" s="107"/>
      <c r="AN4" s="107"/>
      <c r="AO4" s="107"/>
      <c r="AP4" s="107"/>
      <c r="AQ4" s="107"/>
      <c r="AR4" s="107"/>
      <c r="AS4" s="107"/>
      <c r="AT4" s="107"/>
      <c r="AU4" s="107"/>
      <c r="AV4" s="107"/>
      <c r="AW4" s="107"/>
      <c r="AX4" s="107"/>
      <c r="AY4" s="107"/>
      <c r="AZ4" s="107"/>
    </row>
    <row r="5" spans="1:52" ht="18" customHeight="1">
      <c r="A5" s="110" t="s">
        <v>17</v>
      </c>
      <c r="B5" s="107"/>
      <c r="C5" s="107"/>
      <c r="D5" s="107"/>
      <c r="E5" s="107"/>
      <c r="F5" s="107"/>
      <c r="G5" s="107"/>
      <c r="H5" s="107"/>
      <c r="I5" s="107"/>
      <c r="J5" s="107"/>
      <c r="K5" s="107"/>
      <c r="L5" s="107"/>
      <c r="M5" s="107"/>
      <c r="N5" s="107"/>
      <c r="O5" s="107"/>
      <c r="P5" s="107"/>
      <c r="Q5" s="107"/>
      <c r="R5" s="107"/>
      <c r="S5" s="107"/>
      <c r="T5" s="107"/>
      <c r="U5" s="107"/>
      <c r="V5" s="107"/>
      <c r="W5" s="107"/>
      <c r="X5" s="107"/>
      <c r="Y5" s="107"/>
      <c r="Z5" s="107"/>
      <c r="AA5" s="107"/>
      <c r="AB5" s="107"/>
      <c r="AC5" s="107"/>
      <c r="AD5" s="107"/>
      <c r="AE5" s="107"/>
      <c r="AF5" s="107"/>
      <c r="AG5" s="107"/>
      <c r="AH5" s="107"/>
      <c r="AI5" s="107"/>
      <c r="AJ5" s="107"/>
      <c r="AK5" s="107"/>
      <c r="AL5" s="107"/>
      <c r="AM5" s="107"/>
      <c r="AN5" s="107"/>
      <c r="AO5" s="107"/>
      <c r="AP5" s="107"/>
      <c r="AQ5" s="107"/>
      <c r="AR5" s="107"/>
      <c r="AS5" s="107"/>
      <c r="AT5" s="107"/>
      <c r="AU5" s="107"/>
      <c r="AV5" s="107"/>
      <c r="AW5" s="107"/>
      <c r="AX5" s="107"/>
      <c r="AY5" s="107"/>
      <c r="AZ5" s="107"/>
    </row>
    <row r="6" spans="1:52" ht="18" customHeight="1">
      <c r="A6" s="110" t="s">
        <v>18</v>
      </c>
      <c r="B6" s="107"/>
      <c r="C6" s="107"/>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c r="AH6" s="107"/>
      <c r="AI6" s="107"/>
      <c r="AJ6" s="107"/>
      <c r="AK6" s="107"/>
      <c r="AL6" s="107"/>
      <c r="AM6" s="107"/>
      <c r="AN6" s="107"/>
      <c r="AO6" s="107"/>
      <c r="AP6" s="107"/>
      <c r="AQ6" s="107"/>
      <c r="AR6" s="107"/>
      <c r="AS6" s="107"/>
      <c r="AT6" s="107"/>
      <c r="AU6" s="107"/>
      <c r="AV6" s="107"/>
      <c r="AW6" s="107"/>
      <c r="AX6" s="107"/>
      <c r="AY6" s="107"/>
      <c r="AZ6" s="107"/>
    </row>
    <row r="7" spans="1:52" ht="18" customHeight="1"/>
    <row r="8" spans="1:52">
      <c r="A8" t="s">
        <v>19</v>
      </c>
      <c r="E8" s="61"/>
      <c r="F8" s="61"/>
      <c r="G8" s="61"/>
      <c r="H8" s="61"/>
      <c r="I8" s="61"/>
      <c r="J8" s="61"/>
      <c r="K8" s="61"/>
      <c r="L8" s="61"/>
      <c r="M8" s="61"/>
      <c r="N8" s="61"/>
      <c r="O8" s="61"/>
      <c r="P8" s="111">
        <v>2026</v>
      </c>
      <c r="Q8" s="112"/>
      <c r="R8" s="112"/>
      <c r="S8" s="112"/>
      <c r="T8" s="112"/>
      <c r="U8" s="112"/>
      <c r="V8" s="112"/>
      <c r="W8" s="112"/>
      <c r="X8" s="112"/>
      <c r="Y8" s="112"/>
      <c r="Z8" s="112"/>
      <c r="AA8" s="112"/>
      <c r="AB8" s="112"/>
      <c r="AC8" s="112"/>
      <c r="AD8" s="112"/>
      <c r="AE8" s="112"/>
      <c r="AF8" s="112"/>
      <c r="AG8" s="61"/>
      <c r="AH8" s="61"/>
      <c r="AI8" s="61"/>
      <c r="AJ8" s="61"/>
      <c r="AK8" s="61"/>
      <c r="AL8" s="61"/>
      <c r="AM8" s="61"/>
      <c r="AN8" s="61"/>
      <c r="AO8" s="61"/>
      <c r="AP8" s="61"/>
      <c r="AQ8" s="61"/>
      <c r="AR8" s="61"/>
      <c r="AS8" s="61"/>
      <c r="AT8" s="61"/>
      <c r="AU8" s="61"/>
      <c r="AV8" s="61"/>
      <c r="AW8" s="61"/>
      <c r="AX8" s="61"/>
      <c r="AY8" s="61"/>
    </row>
    <row r="10" spans="1:52" ht="19.5" customHeight="1">
      <c r="A10" t="s">
        <v>20</v>
      </c>
      <c r="B10" s="61"/>
      <c r="C10" s="61"/>
      <c r="D10" s="61"/>
      <c r="E10" s="61"/>
      <c r="F10" s="61"/>
      <c r="G10" s="61"/>
      <c r="H10" s="61"/>
      <c r="I10" s="61"/>
      <c r="J10" s="61"/>
      <c r="K10" s="61"/>
      <c r="L10" s="61"/>
      <c r="M10" s="61"/>
      <c r="N10" s="61"/>
      <c r="O10" s="61"/>
      <c r="P10" s="61"/>
      <c r="Q10" s="61"/>
      <c r="R10" s="111"/>
      <c r="S10" s="112"/>
      <c r="T10" s="112"/>
      <c r="U10" s="112"/>
      <c r="V10" s="112"/>
      <c r="W10" s="112"/>
      <c r="X10" s="112"/>
      <c r="Y10" s="112"/>
      <c r="Z10" s="112"/>
      <c r="AA10" s="112"/>
      <c r="AB10" s="112"/>
      <c r="AC10" s="112"/>
      <c r="AD10" s="112"/>
      <c r="AE10" s="112"/>
      <c r="AF10" s="112"/>
      <c r="AG10" s="61"/>
      <c r="AH10" s="61"/>
      <c r="AI10" s="61"/>
      <c r="AJ10" s="61"/>
      <c r="AK10" s="61"/>
      <c r="AL10" s="61"/>
      <c r="AM10" s="61"/>
      <c r="AN10" s="61"/>
      <c r="AO10" s="61"/>
      <c r="AP10" s="61"/>
      <c r="AQ10" s="61"/>
      <c r="AR10" s="61"/>
      <c r="AS10" s="61"/>
      <c r="AT10" s="61"/>
      <c r="AU10" s="61"/>
      <c r="AV10" s="61"/>
      <c r="AW10" s="61"/>
      <c r="AX10" s="61"/>
      <c r="AY10" s="61"/>
    </row>
    <row r="11" spans="1:52" ht="18" customHeight="1"/>
    <row r="12" spans="1:52" ht="18" customHeight="1">
      <c r="A12" t="s">
        <v>21</v>
      </c>
      <c r="G12" s="26"/>
      <c r="H12" s="26"/>
      <c r="I12" s="26"/>
      <c r="J12" s="26"/>
      <c r="K12" s="26"/>
      <c r="L12" s="26"/>
      <c r="M12" s="26"/>
      <c r="N12" s="26"/>
      <c r="O12" s="111" t="s">
        <v>22</v>
      </c>
      <c r="P12" s="112"/>
      <c r="Q12" s="112"/>
      <c r="R12" s="112"/>
      <c r="S12" s="112"/>
      <c r="T12" s="112"/>
      <c r="U12" s="112"/>
      <c r="V12" s="112"/>
      <c r="W12" s="112"/>
      <c r="X12" s="112"/>
      <c r="Y12" s="112"/>
      <c r="Z12" s="112"/>
      <c r="AA12" s="112"/>
      <c r="AB12" s="112"/>
      <c r="AC12" s="112"/>
      <c r="AD12" s="112"/>
      <c r="AE12" s="112"/>
      <c r="AF12" s="112"/>
      <c r="AG12" s="112"/>
      <c r="AH12" s="112"/>
      <c r="AI12" s="112"/>
      <c r="AJ12" s="112"/>
      <c r="AK12" s="112"/>
      <c r="AL12" s="112"/>
      <c r="AM12" s="26"/>
      <c r="AN12" s="26"/>
      <c r="AO12" s="26"/>
      <c r="AP12" s="26"/>
      <c r="AQ12" s="26"/>
      <c r="AR12" s="26"/>
      <c r="AS12" s="26"/>
      <c r="AT12" s="26"/>
      <c r="AU12" s="26"/>
      <c r="AV12" s="26"/>
      <c r="AW12" s="26"/>
      <c r="AX12" s="26"/>
      <c r="AY12" s="26"/>
    </row>
    <row r="13" spans="1:52" ht="18" customHeight="1"/>
    <row r="14" spans="1:52" ht="18" customHeight="1">
      <c r="A14" t="s">
        <v>23</v>
      </c>
      <c r="J14" s="61"/>
      <c r="K14" s="61"/>
      <c r="L14" s="61"/>
      <c r="M14" s="61"/>
      <c r="N14" s="61"/>
      <c r="O14" s="61"/>
      <c r="P14" s="111" t="s">
        <v>24</v>
      </c>
      <c r="Q14" s="112"/>
      <c r="R14" s="112"/>
      <c r="S14" s="112"/>
      <c r="T14" s="112"/>
      <c r="U14" s="112"/>
      <c r="V14" s="112"/>
      <c r="W14" s="112"/>
      <c r="X14" s="112"/>
      <c r="Y14" s="112"/>
      <c r="Z14" s="112"/>
      <c r="AA14" s="112"/>
      <c r="AB14" s="112"/>
      <c r="AC14" s="112"/>
      <c r="AD14" s="112"/>
      <c r="AE14" s="112"/>
      <c r="AF14" s="112"/>
      <c r="AG14" s="112"/>
      <c r="AH14" s="112"/>
      <c r="AI14" s="112"/>
      <c r="AJ14" s="112"/>
      <c r="AK14" s="112"/>
      <c r="AL14" s="112"/>
      <c r="AM14" s="112"/>
      <c r="AN14" s="112"/>
      <c r="AO14" s="112"/>
      <c r="AP14" s="61"/>
      <c r="AQ14" s="61"/>
      <c r="AR14" s="61"/>
      <c r="AS14" s="61"/>
      <c r="AT14" s="61"/>
      <c r="AU14" s="61"/>
      <c r="AV14" s="61"/>
      <c r="AW14" s="61"/>
      <c r="AX14" s="61"/>
      <c r="AY14" s="61"/>
    </row>
    <row r="15" spans="1:52" ht="18" customHeight="1"/>
    <row r="16" spans="1:52" ht="18" customHeight="1">
      <c r="A16" s="27" t="s">
        <v>25</v>
      </c>
      <c r="F16" s="26"/>
      <c r="G16" s="61"/>
      <c r="H16" s="111" t="s">
        <v>26</v>
      </c>
      <c r="I16" s="112"/>
      <c r="J16" s="112"/>
      <c r="K16" s="112"/>
      <c r="L16" s="112"/>
      <c r="M16" s="112"/>
      <c r="N16" s="112"/>
      <c r="O16" s="112"/>
      <c r="P16" s="112"/>
      <c r="Q16" s="112"/>
      <c r="R16" s="112"/>
      <c r="S16" s="61"/>
      <c r="T16" s="61"/>
      <c r="V16" t="s">
        <v>27</v>
      </c>
      <c r="Z16" s="26"/>
      <c r="AA16" s="26"/>
      <c r="AB16" s="26"/>
      <c r="AC16" s="26"/>
      <c r="AD16" s="26"/>
      <c r="AE16" s="26"/>
      <c r="AF16" s="26"/>
      <c r="AG16" s="26"/>
      <c r="AI16" t="s">
        <v>28</v>
      </c>
      <c r="AJ16" s="26"/>
      <c r="AO16" s="26"/>
      <c r="AP16" s="26"/>
      <c r="AQ16" s="111"/>
      <c r="AR16" s="112"/>
      <c r="AS16" s="112"/>
      <c r="AT16" s="112"/>
      <c r="AU16" s="112"/>
      <c r="AV16" s="112"/>
      <c r="AW16" s="112"/>
      <c r="AX16" s="26"/>
      <c r="AY16" s="26"/>
    </row>
    <row r="17" spans="1:51" ht="18" customHeight="1">
      <c r="A17" s="27"/>
    </row>
    <row r="18" spans="1:51" ht="18" customHeight="1">
      <c r="A18" s="27" t="s">
        <v>29</v>
      </c>
      <c r="O18" s="26"/>
      <c r="P18" s="61"/>
      <c r="Q18" s="61"/>
      <c r="R18" s="61"/>
      <c r="S18" s="61"/>
      <c r="T18" s="61"/>
      <c r="U18" s="111" t="s">
        <v>30</v>
      </c>
      <c r="V18" s="112"/>
      <c r="W18" s="112"/>
      <c r="X18" s="112"/>
      <c r="Y18" s="112"/>
      <c r="Z18" s="112"/>
      <c r="AA18" s="112"/>
      <c r="AB18" s="112"/>
      <c r="AC18" s="112"/>
      <c r="AD18" s="112"/>
      <c r="AE18" s="112"/>
      <c r="AF18" s="112"/>
      <c r="AG18" s="112"/>
      <c r="AH18" s="112"/>
      <c r="AI18" s="112"/>
      <c r="AJ18" s="112"/>
      <c r="AK18" s="112"/>
      <c r="AL18" s="112"/>
      <c r="AM18" s="112"/>
      <c r="AN18" s="112"/>
      <c r="AO18" s="112"/>
      <c r="AP18" s="112"/>
      <c r="AQ18" s="61"/>
      <c r="AR18" s="61"/>
      <c r="AS18" s="61"/>
      <c r="AT18" s="61"/>
      <c r="AU18" s="61"/>
      <c r="AV18" s="61"/>
      <c r="AW18" s="61"/>
      <c r="AX18" s="61"/>
      <c r="AY18" s="26"/>
    </row>
    <row r="19" spans="1:51" ht="18" customHeight="1">
      <c r="A19" s="27"/>
    </row>
    <row r="20" spans="1:51" ht="18" customHeight="1">
      <c r="A20" s="27" t="s">
        <v>31</v>
      </c>
      <c r="C20" s="26"/>
      <c r="D20" s="61"/>
      <c r="E20" s="61"/>
      <c r="F20" s="61"/>
      <c r="G20" s="61"/>
      <c r="H20" s="111" t="s">
        <v>32</v>
      </c>
      <c r="I20" s="112"/>
      <c r="J20" s="112"/>
      <c r="K20" s="112"/>
      <c r="L20" s="112"/>
      <c r="M20" s="112"/>
      <c r="N20" s="112"/>
      <c r="O20" s="112"/>
      <c r="P20" s="112"/>
      <c r="Q20" s="61"/>
      <c r="R20" s="61"/>
      <c r="S20" s="61"/>
      <c r="T20" s="61"/>
      <c r="U20" s="61"/>
      <c r="V20" s="61"/>
      <c r="W20" s="26"/>
      <c r="X20" t="s">
        <v>33</v>
      </c>
      <c r="AD20" s="111" t="s">
        <v>34</v>
      </c>
      <c r="AE20" s="112"/>
      <c r="AF20" s="112"/>
      <c r="AG20" s="112"/>
      <c r="AH20" s="112"/>
      <c r="AI20" s="112"/>
      <c r="AJ20" s="112"/>
      <c r="AK20" s="112"/>
      <c r="AL20" s="112"/>
      <c r="AM20" s="112"/>
      <c r="AN20" s="112"/>
      <c r="AO20" s="112"/>
      <c r="AP20" s="112"/>
      <c r="AQ20" s="112"/>
      <c r="AR20" s="112"/>
      <c r="AS20" s="112"/>
      <c r="AT20" s="112"/>
      <c r="AU20" s="112"/>
      <c r="AV20" s="112"/>
      <c r="AW20" s="112"/>
      <c r="AX20" s="112"/>
      <c r="AY20" s="112"/>
    </row>
    <row r="21" spans="1:51" ht="18" customHeight="1">
      <c r="A21" s="27"/>
    </row>
    <row r="22" spans="1:51" ht="18" customHeight="1">
      <c r="A22" s="27" t="s">
        <v>35</v>
      </c>
      <c r="J22" s="26"/>
      <c r="K22" s="26"/>
      <c r="L22" s="26"/>
      <c r="M22" s="26"/>
      <c r="N22" s="26"/>
      <c r="O22" s="26"/>
      <c r="P22" s="26"/>
      <c r="Q22" s="26"/>
      <c r="R22" s="26"/>
      <c r="S22" s="111" t="s">
        <v>36</v>
      </c>
      <c r="T22" s="112"/>
      <c r="U22" s="112"/>
      <c r="V22" s="112"/>
      <c r="W22" s="112"/>
      <c r="X22" s="112"/>
      <c r="Y22" s="112"/>
      <c r="Z22" s="112"/>
      <c r="AA22" s="112"/>
      <c r="AB22" s="112"/>
      <c r="AC22" s="112"/>
      <c r="AD22" s="112"/>
      <c r="AE22" s="112"/>
      <c r="AF22" s="112"/>
      <c r="AG22" s="112"/>
      <c r="AH22" s="112"/>
      <c r="AI22" s="112"/>
      <c r="AJ22" s="112"/>
      <c r="AK22" s="112"/>
      <c r="AL22" s="112"/>
      <c r="AM22" s="112"/>
      <c r="AN22" s="112"/>
      <c r="AO22" s="112"/>
      <c r="AP22" s="26"/>
      <c r="AQ22" s="26"/>
      <c r="AR22" s="26"/>
      <c r="AS22" s="26"/>
      <c r="AT22" s="26"/>
      <c r="AU22" s="26"/>
      <c r="AV22" s="26"/>
      <c r="AW22" s="26"/>
      <c r="AX22" s="26"/>
      <c r="AY22" s="26"/>
    </row>
    <row r="23" spans="1:51" ht="18" customHeight="1">
      <c r="A23" s="27"/>
    </row>
    <row r="24" spans="1:51" ht="18" customHeight="1">
      <c r="A24" s="27" t="s">
        <v>37</v>
      </c>
      <c r="L24" s="26"/>
      <c r="M24" s="26"/>
      <c r="N24" s="26"/>
      <c r="O24" s="26"/>
      <c r="P24" s="26"/>
      <c r="Q24" s="26"/>
      <c r="R24" s="26"/>
      <c r="S24" s="26"/>
      <c r="T24" s="111" t="s">
        <v>38</v>
      </c>
      <c r="U24" s="112"/>
      <c r="V24" s="112"/>
      <c r="W24" s="112"/>
      <c r="X24" s="112"/>
      <c r="Y24" s="112"/>
      <c r="Z24" s="112"/>
      <c r="AA24" s="112"/>
      <c r="AB24" s="112"/>
      <c r="AC24" s="112"/>
      <c r="AD24" s="112"/>
      <c r="AE24" s="112"/>
      <c r="AF24" s="112"/>
      <c r="AG24" s="112"/>
      <c r="AH24" s="112"/>
      <c r="AI24" s="112"/>
      <c r="AJ24" s="112"/>
      <c r="AK24" s="112"/>
      <c r="AL24" s="112"/>
      <c r="AM24" s="112"/>
      <c r="AN24" s="112"/>
      <c r="AO24" s="112"/>
      <c r="AP24" s="112"/>
      <c r="AQ24" s="112"/>
      <c r="AR24" s="26"/>
      <c r="AS24" s="26"/>
      <c r="AT24" s="26"/>
      <c r="AU24" s="26"/>
      <c r="AV24" s="26"/>
      <c r="AW24" s="26"/>
      <c r="AX24" s="26"/>
      <c r="AY24" s="26"/>
    </row>
    <row r="25" spans="1:51" ht="18" customHeight="1">
      <c r="A25" s="27"/>
    </row>
    <row r="26" spans="1:51" ht="18" customHeight="1">
      <c r="A26" s="27" t="s">
        <v>39</v>
      </c>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row>
    <row r="27" spans="1:51" ht="18" customHeight="1">
      <c r="A27" s="27"/>
    </row>
    <row r="28" spans="1:51" ht="18" customHeight="1">
      <c r="A28" s="27" t="s">
        <v>40</v>
      </c>
      <c r="H28" s="26"/>
      <c r="I28" s="26"/>
      <c r="J28" s="26"/>
      <c r="K28" s="26"/>
      <c r="L28" s="61"/>
      <c r="M28" s="61"/>
      <c r="N28" s="61"/>
      <c r="O28" s="61"/>
      <c r="P28" s="61"/>
      <c r="Q28" s="111" t="s">
        <v>11</v>
      </c>
      <c r="R28" s="112"/>
      <c r="S28" s="112"/>
      <c r="T28" s="112"/>
      <c r="U28" s="112"/>
      <c r="V28" s="112"/>
      <c r="W28" s="112"/>
      <c r="X28" s="112"/>
      <c r="Y28" s="112"/>
      <c r="Z28" s="112"/>
      <c r="AA28" s="112"/>
      <c r="AB28" s="112"/>
      <c r="AC28" s="112"/>
      <c r="AD28" s="112"/>
      <c r="AE28" s="112"/>
      <c r="AF28" s="112"/>
      <c r="AG28" s="112"/>
      <c r="AH28" s="112"/>
      <c r="AI28" s="112"/>
      <c r="AJ28" s="112"/>
      <c r="AK28" s="112"/>
      <c r="AL28" s="112"/>
      <c r="AM28" s="112"/>
      <c r="AN28" s="112"/>
      <c r="AO28" s="112"/>
      <c r="AP28" s="112"/>
      <c r="AQ28" s="112"/>
      <c r="AR28" s="61"/>
      <c r="AS28" s="26"/>
      <c r="AT28" s="26"/>
      <c r="AU28" s="26"/>
      <c r="AV28" s="26"/>
      <c r="AW28" s="26"/>
      <c r="AX28" s="26"/>
      <c r="AY28" s="26"/>
    </row>
    <row r="29" spans="1:51" ht="18" customHeight="1">
      <c r="A29" s="27"/>
    </row>
    <row r="30" spans="1:51" ht="18" customHeight="1">
      <c r="A30" s="27" t="s">
        <v>41</v>
      </c>
      <c r="D30" s="26"/>
      <c r="E30" s="26"/>
      <c r="F30" s="111">
        <v>64185780</v>
      </c>
      <c r="G30" s="112"/>
      <c r="H30" s="112"/>
      <c r="I30" s="112"/>
      <c r="J30" s="112"/>
      <c r="K30" s="112"/>
      <c r="L30" s="112"/>
      <c r="M30" s="112"/>
      <c r="N30" s="112"/>
      <c r="O30" s="112"/>
      <c r="P30" s="112"/>
      <c r="Q30" s="61"/>
      <c r="R30" s="61"/>
      <c r="S30" s="26"/>
      <c r="U30" t="s">
        <v>42</v>
      </c>
      <c r="AE30" s="26"/>
      <c r="AF30" s="114" t="s">
        <v>43</v>
      </c>
      <c r="AG30" s="112"/>
      <c r="AH30" s="112"/>
      <c r="AI30" s="112"/>
      <c r="AJ30" s="112"/>
      <c r="AK30" s="112"/>
      <c r="AL30" s="112"/>
      <c r="AM30" s="112"/>
      <c r="AN30" s="112"/>
      <c r="AO30" s="112"/>
      <c r="AP30" s="112"/>
      <c r="AQ30" s="112"/>
      <c r="AR30" s="112"/>
      <c r="AS30" s="112"/>
      <c r="AT30" s="112"/>
      <c r="AU30" s="112"/>
      <c r="AV30" s="112"/>
      <c r="AW30" s="112"/>
      <c r="AX30" s="112"/>
      <c r="AY30" s="26"/>
    </row>
    <row r="31" spans="1:51" ht="18" customHeight="1">
      <c r="A31" s="27"/>
    </row>
    <row r="32" spans="1:51" ht="18" customHeight="1">
      <c r="A32" s="27" t="s">
        <v>44</v>
      </c>
      <c r="E32" s="26"/>
      <c r="F32" s="26"/>
      <c r="G32" s="61"/>
      <c r="H32" s="61"/>
      <c r="I32" s="61"/>
      <c r="J32" s="61"/>
      <c r="K32" s="61"/>
      <c r="L32" s="61"/>
      <c r="M32" s="111" t="s">
        <v>45</v>
      </c>
      <c r="N32" s="112"/>
      <c r="O32" s="112"/>
      <c r="P32" s="112"/>
      <c r="Q32" s="112"/>
      <c r="R32" s="112"/>
      <c r="S32" s="112"/>
      <c r="T32" s="112"/>
      <c r="U32" s="112"/>
      <c r="V32" s="112"/>
      <c r="W32" s="112"/>
      <c r="X32" s="112"/>
      <c r="Y32" s="112"/>
      <c r="Z32" s="112"/>
      <c r="AA32" s="112"/>
      <c r="AB32" s="112"/>
      <c r="AC32" s="112"/>
      <c r="AD32" s="112"/>
      <c r="AE32" s="112"/>
      <c r="AF32" s="112"/>
      <c r="AG32" s="112"/>
      <c r="AH32" s="112"/>
      <c r="AI32" s="112"/>
      <c r="AJ32" s="112"/>
      <c r="AK32" s="112"/>
      <c r="AL32" s="112"/>
      <c r="AM32" s="112"/>
      <c r="AN32" s="112"/>
      <c r="AO32" s="112"/>
      <c r="AP32" s="112"/>
      <c r="AQ32" s="61"/>
      <c r="AR32" s="61"/>
      <c r="AS32" s="61"/>
      <c r="AT32" s="61"/>
      <c r="AU32" s="61"/>
      <c r="AV32" s="61"/>
      <c r="AW32" s="61"/>
      <c r="AX32" s="26"/>
      <c r="AY32" s="26"/>
    </row>
    <row r="33" spans="1:51" ht="18" customHeight="1">
      <c r="A33" s="27"/>
    </row>
    <row r="34" spans="1:51" ht="18" customHeight="1">
      <c r="A34" s="27" t="s">
        <v>46</v>
      </c>
      <c r="E34" s="26"/>
      <c r="F34" s="26"/>
      <c r="G34" s="26"/>
      <c r="H34" s="26"/>
      <c r="I34" s="26"/>
      <c r="J34" s="26"/>
      <c r="K34" s="26"/>
      <c r="L34" s="111" t="s">
        <v>47</v>
      </c>
      <c r="M34" s="112"/>
      <c r="N34" s="112"/>
      <c r="O34" s="112"/>
      <c r="P34" s="112"/>
      <c r="Q34" s="112"/>
      <c r="R34" s="112"/>
      <c r="S34" s="112"/>
      <c r="T34" s="112"/>
      <c r="U34" s="112"/>
      <c r="V34" s="112"/>
      <c r="W34" s="112"/>
      <c r="X34" s="112"/>
      <c r="Y34" s="112"/>
      <c r="Z34" s="112"/>
      <c r="AA34" s="112"/>
      <c r="AB34" s="112"/>
      <c r="AC34" s="112"/>
      <c r="AD34" s="112"/>
      <c r="AE34" s="112"/>
      <c r="AF34" s="112"/>
      <c r="AG34" s="112"/>
      <c r="AH34" s="112"/>
      <c r="AI34" s="112"/>
      <c r="AJ34" s="112"/>
      <c r="AK34" s="112"/>
      <c r="AL34" s="112"/>
      <c r="AM34" s="112"/>
      <c r="AN34" s="112"/>
      <c r="AO34" s="112"/>
      <c r="AP34" s="112"/>
      <c r="AQ34" s="112"/>
      <c r="AR34" s="112"/>
      <c r="AS34" s="26"/>
      <c r="AT34" s="26"/>
      <c r="AU34" s="26"/>
      <c r="AV34" s="26"/>
      <c r="AW34" s="26"/>
      <c r="AX34" s="26"/>
      <c r="AY34" s="26"/>
    </row>
    <row r="35" spans="1:51" ht="18" customHeight="1">
      <c r="A35" s="27"/>
    </row>
    <row r="36" spans="1:51" ht="18" customHeight="1">
      <c r="A36" s="27" t="s">
        <v>48</v>
      </c>
      <c r="I36" s="26"/>
      <c r="J36" s="26"/>
      <c r="K36" s="26"/>
      <c r="L36" s="26"/>
      <c r="M36" s="26"/>
      <c r="N36" s="26"/>
      <c r="O36" s="26"/>
      <c r="P36" s="26"/>
      <c r="Q36" s="111" t="s">
        <v>49</v>
      </c>
      <c r="R36" s="112"/>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26"/>
      <c r="AS36" s="26"/>
      <c r="AT36" s="26"/>
      <c r="AU36" s="26"/>
      <c r="AV36" s="26"/>
      <c r="AW36" s="26"/>
      <c r="AX36" s="26"/>
      <c r="AY36" s="26"/>
    </row>
    <row r="37" spans="1:51" ht="18" customHeight="1">
      <c r="A37" s="27"/>
    </row>
    <row r="38" spans="1:51" ht="18" customHeight="1">
      <c r="A38" s="27" t="s">
        <v>50</v>
      </c>
      <c r="F38" s="26"/>
      <c r="G38" s="76"/>
      <c r="H38" s="76"/>
      <c r="I38" s="76"/>
      <c r="J38" s="76"/>
      <c r="K38" s="76"/>
      <c r="L38" s="76"/>
      <c r="M38" s="76"/>
      <c r="N38" s="76"/>
      <c r="O38" s="113">
        <v>31</v>
      </c>
      <c r="P38" s="112"/>
      <c r="Q38" s="112"/>
      <c r="R38" s="112"/>
      <c r="S38" s="112"/>
      <c r="T38" s="112"/>
      <c r="U38" s="112"/>
      <c r="V38" s="112"/>
      <c r="W38" s="112"/>
      <c r="X38" s="112"/>
      <c r="Y38" s="112"/>
      <c r="Z38" s="112"/>
      <c r="AA38" s="112"/>
      <c r="AB38" s="112"/>
      <c r="AC38" s="112"/>
      <c r="AD38" s="112"/>
      <c r="AE38" s="112"/>
      <c r="AF38" s="112"/>
      <c r="AG38" s="112"/>
      <c r="AH38" s="112"/>
      <c r="AI38" s="112"/>
      <c r="AJ38" s="112"/>
      <c r="AK38" s="112"/>
      <c r="AL38" s="112"/>
      <c r="AM38" s="76"/>
      <c r="AN38" s="76"/>
      <c r="AO38" s="76"/>
      <c r="AP38" s="76"/>
      <c r="AQ38" s="76"/>
      <c r="AR38" s="76"/>
      <c r="AS38" s="76"/>
      <c r="AT38" s="76"/>
      <c r="AU38" s="76"/>
      <c r="AV38" s="76"/>
      <c r="AW38" s="76"/>
      <c r="AX38" s="76"/>
      <c r="AY38" s="76"/>
    </row>
    <row r="39" spans="1:51" ht="18" customHeight="1"/>
    <row r="40" spans="1:51" ht="18" customHeight="1"/>
    <row r="41" spans="1:51" ht="18" customHeight="1"/>
    <row r="42" spans="1:51" ht="15.6" customHeight="1">
      <c r="A42" s="27"/>
    </row>
    <row r="43" spans="1:51" ht="15.6" customHeight="1">
      <c r="A43" s="27"/>
    </row>
  </sheetData>
  <mergeCells count="21">
    <mergeCell ref="O38:AL38"/>
    <mergeCell ref="AQ16:AW16"/>
    <mergeCell ref="H20:P20"/>
    <mergeCell ref="A6:AZ6"/>
    <mergeCell ref="T24:AQ24"/>
    <mergeCell ref="R10:AF10"/>
    <mergeCell ref="Q28:AQ28"/>
    <mergeCell ref="AF30:AX30"/>
    <mergeCell ref="A4:AZ4"/>
    <mergeCell ref="P8:AF8"/>
    <mergeCell ref="Q36:AQ36"/>
    <mergeCell ref="O12:AL12"/>
    <mergeCell ref="AD20:AY20"/>
    <mergeCell ref="H16:R16"/>
    <mergeCell ref="L34:AR34"/>
    <mergeCell ref="M32:AP32"/>
    <mergeCell ref="P14:AO14"/>
    <mergeCell ref="S22:AO22"/>
    <mergeCell ref="U18:AP18"/>
    <mergeCell ref="A5:AZ5"/>
    <mergeCell ref="F30:P30"/>
  </mergeCells>
  <hyperlinks>
    <hyperlink ref="AF30" r:id="rId1" xr:uid="{00000000-0004-0000-0200-000000000000}"/>
  </hyperlinks>
  <pageMargins left="0.62992125984251968" right="0.23622047244094491" top="0.74803149606299213" bottom="0.74803149606299213" header="0.31496062992125978" footer="0.31496062992125978"/>
  <pageSetup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tabColor theme="0" tint="-0.249977111117893"/>
  </sheetPr>
  <dimension ref="A1:X65"/>
  <sheetViews>
    <sheetView workbookViewId="0">
      <selection activeCell="O2" sqref="O2:Q2"/>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51</v>
      </c>
      <c r="N2" s="26"/>
      <c r="O2" s="111"/>
      <c r="P2" s="112"/>
      <c r="Q2" s="112"/>
      <c r="R2" s="26"/>
    </row>
    <row r="3" spans="1:24" ht="16.05" customHeight="1"/>
    <row r="4" spans="1:24" ht="16.05" customHeight="1">
      <c r="C4" t="s">
        <v>31</v>
      </c>
      <c r="H4" s="111"/>
      <c r="I4" s="112"/>
      <c r="J4" s="112"/>
      <c r="K4" s="112"/>
      <c r="L4" s="112"/>
      <c r="M4" s="112"/>
      <c r="N4" s="112"/>
      <c r="O4" s="112"/>
      <c r="P4" s="112"/>
      <c r="Q4" s="112"/>
      <c r="R4" s="112"/>
    </row>
    <row r="5" spans="1:24" ht="16.05" customHeight="1"/>
    <row r="6" spans="1:24" ht="16.05" customHeight="1">
      <c r="C6" t="s">
        <v>33</v>
      </c>
      <c r="I6" s="111"/>
      <c r="J6" s="112"/>
      <c r="K6" s="112"/>
      <c r="L6" s="112"/>
      <c r="M6" s="112"/>
      <c r="N6" s="112"/>
      <c r="O6" s="112"/>
      <c r="P6" s="112"/>
      <c r="Q6" s="112"/>
      <c r="R6" s="112"/>
    </row>
    <row r="7" spans="1:24" ht="16.05" customHeight="1"/>
    <row r="8" spans="1:24" ht="16.05" customHeight="1">
      <c r="C8" t="s">
        <v>52</v>
      </c>
      <c r="H8" s="26"/>
      <c r="I8" s="26"/>
      <c r="J8" s="26"/>
      <c r="K8" s="26"/>
      <c r="L8" s="26"/>
      <c r="M8" s="26"/>
      <c r="N8" s="26"/>
      <c r="O8" s="111"/>
      <c r="P8" s="112"/>
      <c r="Q8" s="112"/>
      <c r="R8" s="26"/>
    </row>
    <row r="9" spans="1:24" ht="18" customHeight="1"/>
    <row r="10" spans="1:24" s="27" customFormat="1" ht="22.95" customHeight="1">
      <c r="D10" s="127" t="s">
        <v>53</v>
      </c>
      <c r="E10" s="116"/>
      <c r="F10" s="116"/>
      <c r="G10" s="116"/>
      <c r="H10" s="116"/>
      <c r="I10" s="117"/>
      <c r="J10" s="64" t="s">
        <v>54</v>
      </c>
      <c r="K10" s="64"/>
      <c r="L10" s="64"/>
      <c r="M10" s="64"/>
      <c r="N10" s="64"/>
      <c r="O10" s="24" t="s">
        <v>55</v>
      </c>
      <c r="P10" s="24" t="s">
        <v>56</v>
      </c>
      <c r="Q10" s="24" t="s">
        <v>57</v>
      </c>
      <c r="R10" s="24" t="s">
        <v>58</v>
      </c>
      <c r="S10" s="24" t="s">
        <v>59</v>
      </c>
      <c r="T10" s="68"/>
      <c r="U10" s="69"/>
      <c r="V10" s="69"/>
      <c r="W10" s="69"/>
      <c r="X10" s="69"/>
    </row>
    <row r="11" spans="1:24" ht="22.95" customHeight="1">
      <c r="D11" s="115" t="s">
        <v>60</v>
      </c>
      <c r="E11" s="116"/>
      <c r="F11" s="116"/>
      <c r="G11" s="116"/>
      <c r="H11" s="116"/>
      <c r="I11" s="117"/>
      <c r="J11" s="119"/>
      <c r="K11" s="214"/>
      <c r="L11" s="214"/>
      <c r="M11" s="214"/>
      <c r="N11" s="215"/>
      <c r="O11" s="23"/>
      <c r="P11" s="71"/>
      <c r="Q11" s="71"/>
      <c r="R11" s="23"/>
      <c r="S11" s="72"/>
      <c r="T11" s="66"/>
      <c r="U11" s="67"/>
      <c r="V11" s="67"/>
      <c r="W11" s="67"/>
      <c r="X11" s="67"/>
    </row>
    <row r="12" spans="1:24" ht="22.95" customHeight="1">
      <c r="D12" s="115" t="s">
        <v>61</v>
      </c>
      <c r="E12" s="116"/>
      <c r="F12" s="116"/>
      <c r="G12" s="116"/>
      <c r="H12" s="116"/>
      <c r="I12" s="117"/>
      <c r="J12" s="119"/>
      <c r="K12" s="214"/>
      <c r="L12" s="214"/>
      <c r="M12" s="214"/>
      <c r="N12" s="215"/>
      <c r="O12" s="23"/>
      <c r="P12" s="23"/>
      <c r="Q12" s="23"/>
      <c r="R12" s="23"/>
      <c r="S12" s="72"/>
      <c r="T12" s="66"/>
      <c r="U12" s="67"/>
      <c r="V12" s="67"/>
      <c r="W12" s="67"/>
      <c r="X12" s="67"/>
    </row>
    <row r="13" spans="1:24" ht="22.95" customHeight="1">
      <c r="D13" s="115" t="s">
        <v>62</v>
      </c>
      <c r="E13" s="116"/>
      <c r="F13" s="116"/>
      <c r="G13" s="116"/>
      <c r="H13" s="116"/>
      <c r="I13" s="117"/>
      <c r="J13" s="119"/>
      <c r="K13" s="214"/>
      <c r="L13" s="214"/>
      <c r="M13" s="214"/>
      <c r="N13" s="215"/>
      <c r="O13" s="72"/>
      <c r="P13" s="72"/>
      <c r="Q13" s="72"/>
      <c r="R13" s="23"/>
      <c r="S13" s="23"/>
      <c r="T13" s="66"/>
      <c r="U13" s="67"/>
      <c r="V13" s="67"/>
      <c r="W13" s="67"/>
      <c r="X13" s="67"/>
    </row>
    <row r="14" spans="1:24" ht="22.95" customHeight="1">
      <c r="D14" s="122" t="s">
        <v>63</v>
      </c>
      <c r="E14" s="123"/>
      <c r="F14" s="123"/>
      <c r="G14" s="123"/>
      <c r="H14" s="123"/>
      <c r="I14" s="124"/>
      <c r="J14" s="119"/>
      <c r="K14" s="214"/>
      <c r="L14" s="214"/>
      <c r="M14" s="214"/>
      <c r="N14" s="215"/>
      <c r="O14" s="71"/>
      <c r="P14" s="71"/>
      <c r="Q14" s="71"/>
      <c r="R14" s="72"/>
      <c r="S14" s="72"/>
      <c r="T14" s="66"/>
      <c r="U14" s="67"/>
      <c r="V14" s="67"/>
      <c r="W14" s="67"/>
      <c r="X14" s="67"/>
    </row>
    <row r="15" spans="1:24" ht="22.95" customHeight="1">
      <c r="A15" s="67"/>
      <c r="B15" s="70"/>
      <c r="C15" s="70"/>
      <c r="D15" s="120" t="s">
        <v>64</v>
      </c>
      <c r="E15" s="116"/>
      <c r="F15" s="116"/>
      <c r="G15" s="116"/>
      <c r="H15" s="116"/>
      <c r="I15" s="116"/>
      <c r="J15" s="116"/>
      <c r="K15" s="116"/>
      <c r="L15" s="116"/>
      <c r="M15" s="116"/>
      <c r="N15" s="116"/>
      <c r="O15" s="116"/>
      <c r="P15" s="116"/>
      <c r="Q15" s="116"/>
      <c r="R15" s="116"/>
      <c r="S15" s="117"/>
    </row>
    <row r="16" spans="1:24" ht="22.95" customHeight="1">
      <c r="B16" s="67"/>
      <c r="C16" s="67"/>
      <c r="D16" s="115" t="s">
        <v>65</v>
      </c>
      <c r="E16" s="116"/>
      <c r="F16" s="116"/>
      <c r="G16" s="116"/>
      <c r="H16" s="116"/>
      <c r="I16" s="117"/>
      <c r="J16" s="119"/>
      <c r="K16" s="214"/>
      <c r="L16" s="214"/>
      <c r="M16" s="214"/>
      <c r="N16" s="215"/>
      <c r="O16" s="71"/>
      <c r="P16" s="72"/>
      <c r="Q16" s="72"/>
      <c r="R16" s="23"/>
      <c r="S16" s="72"/>
    </row>
    <row r="17" spans="1:19" ht="22.95" customHeight="1">
      <c r="B17" s="67"/>
      <c r="C17" s="67"/>
      <c r="D17" s="115" t="s">
        <v>66</v>
      </c>
      <c r="E17" s="116"/>
      <c r="F17" s="116"/>
      <c r="G17" s="116"/>
      <c r="H17" s="116"/>
      <c r="I17" s="117"/>
      <c r="J17" s="119"/>
      <c r="K17" s="214"/>
      <c r="L17" s="214"/>
      <c r="M17" s="214"/>
      <c r="N17" s="215"/>
      <c r="O17" s="23"/>
      <c r="P17" s="23"/>
      <c r="Q17" s="23"/>
      <c r="R17" s="72"/>
      <c r="S17" s="71"/>
    </row>
    <row r="18" spans="1:19" ht="22.95" customHeight="1">
      <c r="B18" s="67"/>
      <c r="C18" s="67"/>
      <c r="D18" s="115" t="s">
        <v>67</v>
      </c>
      <c r="E18" s="116"/>
      <c r="F18" s="116"/>
      <c r="G18" s="116"/>
      <c r="H18" s="116"/>
      <c r="I18" s="117"/>
      <c r="J18" s="119"/>
      <c r="K18" s="214"/>
      <c r="L18" s="214"/>
      <c r="M18" s="214"/>
      <c r="N18" s="215"/>
      <c r="O18" s="72"/>
      <c r="P18" s="23"/>
      <c r="Q18" s="72"/>
      <c r="R18" s="23"/>
      <c r="S18" s="23"/>
    </row>
    <row r="19" spans="1:19" ht="22.95" customHeight="1">
      <c r="B19" s="67"/>
      <c r="C19" s="67"/>
      <c r="D19" s="115" t="s">
        <v>68</v>
      </c>
      <c r="E19" s="116"/>
      <c r="F19" s="116"/>
      <c r="G19" s="116"/>
      <c r="H19" s="116"/>
      <c r="I19" s="117"/>
      <c r="J19" s="119"/>
      <c r="K19" s="214"/>
      <c r="L19" s="214"/>
      <c r="M19" s="214"/>
      <c r="N19" s="215"/>
      <c r="O19" s="77"/>
      <c r="P19" s="72"/>
      <c r="Q19" s="23"/>
      <c r="R19" s="72"/>
      <c r="S19" s="72"/>
    </row>
    <row r="20" spans="1:19" ht="18" customHeight="1">
      <c r="A20" s="28"/>
      <c r="B20" s="28"/>
      <c r="C20" s="28"/>
      <c r="D20" s="28"/>
      <c r="E20" s="28"/>
      <c r="F20" s="28"/>
      <c r="G20" s="28"/>
      <c r="H20" s="28"/>
      <c r="I20" s="28"/>
      <c r="J20" s="28"/>
      <c r="K20" s="28"/>
      <c r="L20" s="28"/>
      <c r="M20" s="28"/>
      <c r="N20" s="28"/>
      <c r="O20" s="28"/>
      <c r="P20" s="28"/>
      <c r="Q20" s="28"/>
      <c r="R20" s="28"/>
      <c r="S20" s="28"/>
    </row>
    <row r="21" spans="1:19" ht="18" customHeight="1">
      <c r="A21" s="110"/>
      <c r="B21" s="107"/>
      <c r="C21" s="107"/>
      <c r="D21" s="107"/>
      <c r="E21" s="107"/>
      <c r="F21" s="107"/>
      <c r="G21" s="107"/>
      <c r="H21" s="107"/>
      <c r="I21" s="107"/>
      <c r="J21" s="107"/>
      <c r="K21" s="107"/>
      <c r="L21" s="107"/>
      <c r="M21" s="107"/>
      <c r="N21" s="107"/>
      <c r="O21" s="107"/>
      <c r="P21" s="107"/>
      <c r="Q21" s="107"/>
      <c r="R21" s="107"/>
      <c r="S21" s="107"/>
    </row>
    <row r="22" spans="1:19" ht="18" customHeight="1">
      <c r="A22" s="110"/>
      <c r="B22" s="107"/>
      <c r="C22" s="107"/>
      <c r="D22" s="107"/>
      <c r="E22" s="107"/>
      <c r="F22" s="107"/>
      <c r="G22" s="107"/>
      <c r="H22" s="107"/>
      <c r="I22" s="107"/>
      <c r="J22" s="107"/>
      <c r="K22" s="107"/>
      <c r="L22" s="107"/>
      <c r="M22" s="107"/>
      <c r="N22" s="107"/>
      <c r="O22" s="107"/>
      <c r="P22" s="107"/>
      <c r="Q22" s="107"/>
      <c r="R22" s="107"/>
      <c r="S22" s="107"/>
    </row>
    <row r="23" spans="1:19" ht="18" customHeight="1"/>
    <row r="24" spans="1:19" s="27" customFormat="1" ht="22.95" customHeight="1">
      <c r="A24" s="125"/>
      <c r="B24" s="126"/>
      <c r="C24" s="126"/>
      <c r="D24" s="126"/>
      <c r="E24" s="126"/>
      <c r="F24" s="126"/>
      <c r="G24" s="125"/>
      <c r="H24" s="126"/>
      <c r="I24" s="126"/>
      <c r="J24" s="126"/>
      <c r="K24" s="126"/>
      <c r="L24" s="126"/>
      <c r="M24" s="126"/>
      <c r="N24" s="126"/>
      <c r="O24" s="62"/>
      <c r="P24" s="62"/>
      <c r="Q24" s="62"/>
      <c r="R24" s="62"/>
      <c r="S24" s="62"/>
    </row>
    <row r="25" spans="1:19" ht="22.95" customHeight="1">
      <c r="A25" s="121"/>
      <c r="B25" s="107"/>
      <c r="C25" s="107"/>
      <c r="D25" s="107"/>
      <c r="E25" s="107"/>
      <c r="F25" s="107"/>
      <c r="G25" s="121"/>
      <c r="H25" s="107"/>
      <c r="I25" s="107"/>
      <c r="J25" s="107"/>
      <c r="K25" s="107"/>
      <c r="L25" s="107"/>
      <c r="M25" s="107"/>
      <c r="N25" s="107"/>
      <c r="O25" s="28"/>
      <c r="P25" s="28"/>
      <c r="Q25" s="28"/>
      <c r="R25" s="28"/>
      <c r="S25" s="28"/>
    </row>
    <row r="26" spans="1:19" ht="22.95" customHeight="1">
      <c r="A26" s="121"/>
      <c r="B26" s="107"/>
      <c r="C26" s="107"/>
      <c r="D26" s="107"/>
      <c r="E26" s="107"/>
      <c r="F26" s="107"/>
      <c r="G26" s="121"/>
      <c r="H26" s="107"/>
      <c r="I26" s="107"/>
      <c r="J26" s="107"/>
      <c r="K26" s="107"/>
      <c r="L26" s="107"/>
      <c r="M26" s="107"/>
      <c r="N26" s="107"/>
      <c r="O26" s="28"/>
      <c r="P26" s="28"/>
      <c r="Q26" s="28"/>
      <c r="R26" s="28"/>
      <c r="S26" s="28"/>
    </row>
    <row r="27" spans="1:19" ht="22.95" customHeight="1">
      <c r="A27" s="121"/>
      <c r="B27" s="107"/>
      <c r="C27" s="107"/>
      <c r="D27" s="107"/>
      <c r="E27" s="107"/>
      <c r="F27" s="107"/>
      <c r="G27" s="121"/>
      <c r="H27" s="107"/>
      <c r="I27" s="107"/>
      <c r="J27" s="107"/>
      <c r="K27" s="107"/>
      <c r="L27" s="107"/>
      <c r="M27" s="107"/>
      <c r="N27" s="107"/>
      <c r="O27" s="28"/>
      <c r="P27" s="28"/>
      <c r="Q27" s="28"/>
      <c r="R27" s="28"/>
      <c r="S27" s="28"/>
    </row>
    <row r="28" spans="1:19" ht="22.95" customHeight="1">
      <c r="A28" s="121"/>
      <c r="B28" s="107"/>
      <c r="C28" s="107"/>
      <c r="D28" s="107"/>
      <c r="E28" s="107"/>
      <c r="F28" s="107"/>
      <c r="G28" s="121"/>
      <c r="H28" s="107"/>
      <c r="I28" s="107"/>
      <c r="J28" s="107"/>
      <c r="K28" s="107"/>
      <c r="L28" s="107"/>
      <c r="M28" s="107"/>
      <c r="N28" s="107"/>
      <c r="O28" s="28"/>
      <c r="P28" s="28"/>
      <c r="Q28" s="28"/>
      <c r="R28" s="28"/>
      <c r="S28" s="28"/>
    </row>
    <row r="29" spans="1:19" ht="22.95" customHeight="1">
      <c r="A29" s="110"/>
      <c r="B29" s="107"/>
      <c r="C29" s="107"/>
      <c r="D29" s="107"/>
      <c r="E29" s="107"/>
      <c r="F29" s="107"/>
      <c r="G29" s="107"/>
      <c r="H29" s="107"/>
      <c r="I29" s="107"/>
      <c r="J29" s="107"/>
      <c r="K29" s="107"/>
      <c r="L29" s="107"/>
      <c r="M29" s="107"/>
      <c r="N29" s="107"/>
      <c r="O29" s="107"/>
      <c r="P29" s="107"/>
      <c r="Q29" s="107"/>
      <c r="R29" s="107"/>
      <c r="S29" s="107"/>
    </row>
    <row r="30" spans="1:19" ht="22.95" customHeight="1">
      <c r="A30" s="121"/>
      <c r="B30" s="107"/>
      <c r="C30" s="107"/>
      <c r="D30" s="107"/>
      <c r="E30" s="107"/>
      <c r="F30" s="107"/>
      <c r="G30" s="121"/>
      <c r="H30" s="107"/>
      <c r="I30" s="107"/>
      <c r="J30" s="107"/>
      <c r="K30" s="107"/>
      <c r="L30" s="107"/>
      <c r="M30" s="107"/>
      <c r="N30" s="107"/>
      <c r="O30" s="28"/>
      <c r="P30" s="28"/>
      <c r="Q30" s="28"/>
      <c r="R30" s="28"/>
      <c r="S30" s="28"/>
    </row>
    <row r="31" spans="1:19" ht="22.95" customHeight="1">
      <c r="A31" s="121"/>
      <c r="B31" s="107"/>
      <c r="C31" s="107"/>
      <c r="D31" s="107"/>
      <c r="E31" s="107"/>
      <c r="F31" s="107"/>
      <c r="G31" s="121"/>
      <c r="H31" s="107"/>
      <c r="I31" s="107"/>
      <c r="J31" s="107"/>
      <c r="K31" s="107"/>
      <c r="L31" s="107"/>
      <c r="M31" s="107"/>
      <c r="N31" s="107"/>
      <c r="O31" s="28"/>
      <c r="P31" s="28"/>
      <c r="Q31" s="28"/>
      <c r="R31" s="28"/>
      <c r="S31" s="28"/>
    </row>
    <row r="32" spans="1:19" ht="22.95" customHeight="1">
      <c r="A32" s="121"/>
      <c r="B32" s="107"/>
      <c r="C32" s="107"/>
      <c r="D32" s="107"/>
      <c r="E32" s="107"/>
      <c r="F32" s="107"/>
      <c r="G32" s="121"/>
      <c r="H32" s="107"/>
      <c r="I32" s="107"/>
      <c r="J32" s="107"/>
      <c r="K32" s="107"/>
      <c r="L32" s="107"/>
      <c r="M32" s="107"/>
      <c r="N32" s="107"/>
      <c r="O32" s="28"/>
      <c r="P32" s="28"/>
      <c r="Q32" s="28"/>
      <c r="R32" s="28"/>
      <c r="S32" s="28"/>
    </row>
    <row r="33" spans="1:19" ht="22.95" customHeight="1">
      <c r="A33" s="121"/>
      <c r="B33" s="107"/>
      <c r="C33" s="107"/>
      <c r="D33" s="107"/>
      <c r="E33" s="107"/>
      <c r="F33" s="107"/>
      <c r="G33" s="121"/>
      <c r="H33" s="107"/>
      <c r="I33" s="107"/>
      <c r="J33" s="107"/>
      <c r="K33" s="107"/>
      <c r="L33" s="107"/>
      <c r="M33" s="107"/>
      <c r="N33" s="107"/>
      <c r="O33" s="28"/>
      <c r="P33" s="28"/>
      <c r="Q33" s="28"/>
      <c r="R33" s="28"/>
      <c r="S33" s="28"/>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43">
    <mergeCell ref="G32:N32"/>
    <mergeCell ref="J18:N18"/>
    <mergeCell ref="A21:S21"/>
    <mergeCell ref="G31:N31"/>
    <mergeCell ref="A25:F25"/>
    <mergeCell ref="A22:S22"/>
    <mergeCell ref="A27:F27"/>
    <mergeCell ref="J14:N14"/>
    <mergeCell ref="D17:I17"/>
    <mergeCell ref="G27:N27"/>
    <mergeCell ref="A26:F26"/>
    <mergeCell ref="D16:I16"/>
    <mergeCell ref="J19:N19"/>
    <mergeCell ref="O2:Q2"/>
    <mergeCell ref="A28:F28"/>
    <mergeCell ref="D14:I14"/>
    <mergeCell ref="J11:N11"/>
    <mergeCell ref="G30:N30"/>
    <mergeCell ref="J16:N16"/>
    <mergeCell ref="G24:N24"/>
    <mergeCell ref="A30:F30"/>
    <mergeCell ref="D19:I19"/>
    <mergeCell ref="A24:F24"/>
    <mergeCell ref="D10:I10"/>
    <mergeCell ref="G26:N26"/>
    <mergeCell ref="H4:R4"/>
    <mergeCell ref="D15:S15"/>
    <mergeCell ref="A29:S29"/>
    <mergeCell ref="A33:F33"/>
    <mergeCell ref="D18:I18"/>
    <mergeCell ref="A32:F32"/>
    <mergeCell ref="D12:I12"/>
    <mergeCell ref="G28:N28"/>
    <mergeCell ref="O8:Q8"/>
    <mergeCell ref="I6:R6"/>
    <mergeCell ref="G33:N33"/>
    <mergeCell ref="A31:F31"/>
    <mergeCell ref="J12:N12"/>
    <mergeCell ref="G25:N25"/>
    <mergeCell ref="D11:I11"/>
    <mergeCell ref="J17:N17"/>
    <mergeCell ref="D13:I13"/>
    <mergeCell ref="J13:N13"/>
  </mergeCells>
  <pageMargins left="0.25" right="0.25" top="0.75" bottom="0.75" header="0.3" footer="0.3"/>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29" t="s">
        <v>69</v>
      </c>
      <c r="C1" s="30" t="s">
        <v>70</v>
      </c>
    </row>
    <row r="2" spans="1:3" ht="13.05" customHeight="1">
      <c r="A2" s="31"/>
      <c r="C2" s="128" t="s">
        <v>71</v>
      </c>
    </row>
    <row r="3" spans="1:3">
      <c r="A3" s="129" t="s">
        <v>72</v>
      </c>
      <c r="C3" s="107"/>
    </row>
    <row r="4" spans="1:3" ht="11.25" customHeight="1">
      <c r="A4" s="107"/>
      <c r="C4" s="107"/>
    </row>
    <row r="5" spans="1:3" ht="55.2" customHeight="1">
      <c r="A5" s="107"/>
      <c r="C5" s="30" t="s">
        <v>73</v>
      </c>
    </row>
    <row r="6" spans="1:3">
      <c r="A6" s="107"/>
      <c r="C6" s="30"/>
    </row>
    <row r="7" spans="1:3" ht="15.6" customHeight="1">
      <c r="A7" s="35"/>
      <c r="C7" s="32" t="s">
        <v>74</v>
      </c>
    </row>
    <row r="8" spans="1:3">
      <c r="A8" s="35"/>
      <c r="C8" s="30"/>
    </row>
    <row r="9" spans="1:3" ht="13.05" customHeight="1">
      <c r="A9" s="33"/>
      <c r="C9" s="128" t="s">
        <v>75</v>
      </c>
    </row>
    <row r="10" spans="1:3" ht="14.4" customHeight="1">
      <c r="A10" s="128" t="s">
        <v>76</v>
      </c>
      <c r="C10" s="107"/>
    </row>
    <row r="11" spans="1:3">
      <c r="A11" s="107"/>
      <c r="C11" s="107"/>
    </row>
    <row r="12" spans="1:3">
      <c r="A12" s="107"/>
      <c r="C12" s="107"/>
    </row>
    <row r="13" spans="1:3" ht="8.25" customHeight="1">
      <c r="A13" s="107"/>
      <c r="C13" s="107"/>
    </row>
    <row r="14" spans="1:3" ht="13.05" customHeight="1">
      <c r="C14" s="30"/>
    </row>
    <row r="15" spans="1:3" ht="14.4" customHeight="1">
      <c r="A15" s="128" t="s">
        <v>77</v>
      </c>
      <c r="C15" s="128" t="s">
        <v>78</v>
      </c>
    </row>
    <row r="16" spans="1:3">
      <c r="A16" s="107"/>
      <c r="C16" s="107"/>
    </row>
    <row r="17" spans="1:3" ht="13.05" customHeight="1">
      <c r="C17" s="107"/>
    </row>
    <row r="18" spans="1:3" ht="14.4" customHeight="1">
      <c r="A18" s="128" t="s">
        <v>79</v>
      </c>
      <c r="C18" s="30" t="s">
        <v>80</v>
      </c>
    </row>
    <row r="19" spans="1:3">
      <c r="A19" s="107"/>
      <c r="C19" s="30" t="s">
        <v>81</v>
      </c>
    </row>
    <row r="20" spans="1:3">
      <c r="A20" s="107"/>
      <c r="C20" s="30" t="s">
        <v>82</v>
      </c>
    </row>
    <row r="21" spans="1:3">
      <c r="A21" s="107"/>
      <c r="C21" s="30" t="s">
        <v>83</v>
      </c>
    </row>
    <row r="22" spans="1:3" ht="13.05" customHeight="1">
      <c r="A22" s="30"/>
      <c r="C22" s="30" t="s">
        <v>84</v>
      </c>
    </row>
    <row r="23" spans="1:3">
      <c r="A23" s="34" t="s">
        <v>85</v>
      </c>
      <c r="C23" s="30" t="s">
        <v>86</v>
      </c>
    </row>
    <row r="24" spans="1:3" ht="13.05" customHeight="1">
      <c r="A24" s="34"/>
      <c r="C24" s="30" t="s">
        <v>87</v>
      </c>
    </row>
    <row r="25" spans="1:3" ht="14.4" customHeight="1">
      <c r="A25" s="128" t="s">
        <v>88</v>
      </c>
      <c r="C25" s="30" t="s">
        <v>89</v>
      </c>
    </row>
    <row r="26" spans="1:3">
      <c r="A26" s="107"/>
      <c r="C26" s="30"/>
    </row>
    <row r="27" spans="1:3" ht="10.5" customHeight="1">
      <c r="A27" s="107"/>
      <c r="C27" s="130" t="s">
        <v>90</v>
      </c>
    </row>
    <row r="28" spans="1:3" ht="10.5" customHeight="1">
      <c r="A28" s="30"/>
      <c r="C28" s="107"/>
    </row>
    <row r="29" spans="1:3" ht="14.4" customHeight="1">
      <c r="A29" s="128" t="s">
        <v>91</v>
      </c>
      <c r="C29" s="30"/>
    </row>
    <row r="30" spans="1:3">
      <c r="A30" s="107"/>
      <c r="C30" s="128" t="s">
        <v>92</v>
      </c>
    </row>
    <row r="31" spans="1:3" ht="13.05" customHeight="1">
      <c r="A31" s="35"/>
      <c r="C31" s="107"/>
    </row>
    <row r="32" spans="1:3" ht="14.4" customHeight="1">
      <c r="A32" s="128" t="s">
        <v>93</v>
      </c>
      <c r="C32" s="107"/>
    </row>
    <row r="33" spans="1:3" ht="12" customHeight="1">
      <c r="A33" s="107"/>
      <c r="C33" s="107"/>
    </row>
    <row r="34" spans="1:3" ht="14.4" customHeight="1">
      <c r="A34" s="128" t="s">
        <v>94</v>
      </c>
      <c r="C34" s="30"/>
    </row>
    <row r="35" spans="1:3" ht="12" customHeight="1">
      <c r="A35" s="107"/>
      <c r="C35" s="128" t="s">
        <v>95</v>
      </c>
    </row>
    <row r="36" spans="1:3" ht="14.4" customHeight="1">
      <c r="A36" s="128" t="s">
        <v>96</v>
      </c>
      <c r="C36" s="107"/>
    </row>
    <row r="37" spans="1:3" ht="12" customHeight="1">
      <c r="A37" s="107"/>
      <c r="C37" s="128" t="s">
        <v>97</v>
      </c>
    </row>
    <row r="38" spans="1:3" ht="14.4" customHeight="1">
      <c r="A38" s="128" t="s">
        <v>98</v>
      </c>
      <c r="C38" s="107"/>
    </row>
    <row r="39" spans="1:3" ht="12" customHeight="1">
      <c r="A39" s="107"/>
      <c r="C39" s="30" t="s">
        <v>99</v>
      </c>
    </row>
    <row r="40" spans="1:3" ht="14.4" customHeight="1">
      <c r="A40" s="128" t="s">
        <v>100</v>
      </c>
      <c r="C40" s="128" t="s">
        <v>101</v>
      </c>
    </row>
    <row r="41" spans="1:3">
      <c r="A41" s="107"/>
      <c r="C41" s="107"/>
    </row>
    <row r="42" spans="1:3" ht="13.05" customHeight="1">
      <c r="A42" s="30"/>
      <c r="C42" s="128" t="s">
        <v>102</v>
      </c>
    </row>
    <row r="43" spans="1:3" ht="14.4" customHeight="1">
      <c r="A43" s="131" t="s">
        <v>103</v>
      </c>
      <c r="C43" s="107"/>
    </row>
    <row r="44" spans="1:3">
      <c r="A44" s="107"/>
      <c r="C44" s="128" t="s">
        <v>104</v>
      </c>
    </row>
    <row r="45" spans="1:3" ht="13.05" customHeight="1">
      <c r="A45" s="30"/>
      <c r="C45" s="107"/>
    </row>
    <row r="46" spans="1:3" ht="27.6" customHeight="1">
      <c r="A46" s="30" t="s">
        <v>105</v>
      </c>
      <c r="C46" s="30"/>
    </row>
    <row r="47" spans="1:3" ht="27.6" customHeight="1">
      <c r="A47" s="36" t="s">
        <v>106</v>
      </c>
      <c r="C47" s="30"/>
    </row>
    <row r="48" spans="1:3">
      <c r="A48" s="30"/>
      <c r="C48" s="30"/>
    </row>
    <row r="49" spans="1:3">
      <c r="A49" s="30"/>
      <c r="C49" s="30"/>
    </row>
    <row r="50" spans="1:3">
      <c r="A50" s="30"/>
      <c r="C50" s="30"/>
    </row>
    <row r="51" spans="1:3" ht="12.75" customHeight="1">
      <c r="C51" s="30"/>
    </row>
    <row r="52" spans="1:3" ht="30" customHeight="1">
      <c r="C52" s="30"/>
    </row>
    <row r="53" spans="1:3" ht="11.25" customHeight="1">
      <c r="A53" s="30"/>
      <c r="C53" s="30"/>
    </row>
    <row r="54" spans="1:3">
      <c r="C54" s="30"/>
    </row>
    <row r="55" spans="1:3">
      <c r="C55" s="30"/>
    </row>
    <row r="56" spans="1:3">
      <c r="A56" s="30"/>
      <c r="C56" s="30"/>
    </row>
    <row r="57" spans="1:3">
      <c r="A57" s="30"/>
      <c r="C57" s="30"/>
    </row>
    <row r="58" spans="1:3">
      <c r="A58" s="30"/>
      <c r="C58" s="30"/>
    </row>
    <row r="59" spans="1:3">
      <c r="A59" s="30"/>
      <c r="C59" s="30"/>
    </row>
    <row r="60" spans="1:3">
      <c r="A60" s="30"/>
      <c r="C60" s="30"/>
    </row>
    <row r="61" spans="1:3">
      <c r="A61" s="30"/>
      <c r="C61" s="30"/>
    </row>
    <row r="62" spans="1:3">
      <c r="A62" s="30"/>
      <c r="C62" s="30"/>
    </row>
    <row r="63" spans="1:3">
      <c r="A63" s="30"/>
      <c r="C63" s="30"/>
    </row>
    <row r="64" spans="1:3">
      <c r="A64" s="30"/>
      <c r="C64" s="30"/>
    </row>
    <row r="65" spans="1:3">
      <c r="A65" s="30"/>
      <c r="C65" s="30"/>
    </row>
    <row r="66" spans="1:3">
      <c r="A66" s="30"/>
      <c r="C66" s="30"/>
    </row>
    <row r="67" spans="1:3">
      <c r="A67" s="30"/>
      <c r="C67" s="30"/>
    </row>
    <row r="68" spans="1:3">
      <c r="A68" s="30"/>
      <c r="C68" s="30"/>
    </row>
    <row r="69" spans="1:3">
      <c r="A69" s="30"/>
      <c r="C69" s="30"/>
    </row>
    <row r="70" spans="1:3">
      <c r="A70" s="30"/>
      <c r="C70" s="30"/>
    </row>
    <row r="71" spans="1:3">
      <c r="A71" s="30"/>
      <c r="C71" s="30"/>
    </row>
    <row r="72" spans="1:3">
      <c r="A72" s="30"/>
      <c r="C72" s="30"/>
    </row>
    <row r="73" spans="1:3">
      <c r="A73" s="30"/>
      <c r="C73" s="30"/>
    </row>
    <row r="74" spans="1:3">
      <c r="A74" s="30"/>
      <c r="C74" s="30"/>
    </row>
    <row r="75" spans="1:3">
      <c r="A75" s="30"/>
      <c r="C75" s="30"/>
    </row>
    <row r="76" spans="1:3">
      <c r="A76" s="30"/>
      <c r="C76" s="30"/>
    </row>
    <row r="77" spans="1:3">
      <c r="A77" s="30"/>
      <c r="C77" s="30"/>
    </row>
    <row r="78" spans="1:3">
      <c r="A78" s="30"/>
      <c r="C78" s="30"/>
    </row>
    <row r="79" spans="1:3">
      <c r="A79" s="30"/>
      <c r="C79" s="30"/>
    </row>
    <row r="80" spans="1:3">
      <c r="A80" s="30"/>
      <c r="C80" s="30"/>
    </row>
    <row r="81" spans="1:3">
      <c r="A81" s="30"/>
      <c r="C81" s="30"/>
    </row>
    <row r="82" spans="1:3">
      <c r="A82" s="30"/>
      <c r="C82" s="30"/>
    </row>
    <row r="83" spans="1:3">
      <c r="A83" s="30"/>
      <c r="C83" s="30"/>
    </row>
    <row r="84" spans="1:3">
      <c r="A84" s="30"/>
      <c r="C84" s="30"/>
    </row>
    <row r="85" spans="1:3">
      <c r="A85" s="30"/>
      <c r="C85" s="30"/>
    </row>
    <row r="86" spans="1:3">
      <c r="A86" s="30"/>
      <c r="C86" s="30"/>
    </row>
    <row r="87" spans="1:3">
      <c r="A87" s="30"/>
    </row>
    <row r="88" spans="1:3">
      <c r="A88" s="30"/>
    </row>
    <row r="89" spans="1:3">
      <c r="A89" s="30"/>
    </row>
    <row r="90" spans="1:3">
      <c r="A90" s="30"/>
    </row>
    <row r="91" spans="1:3">
      <c r="A91" s="30"/>
    </row>
    <row r="92" spans="1:3">
      <c r="A92" s="30"/>
    </row>
    <row r="93" spans="1:3">
      <c r="A93" s="30"/>
    </row>
    <row r="94" spans="1:3">
      <c r="A94" s="30"/>
    </row>
    <row r="95" spans="1:3">
      <c r="A95" s="30"/>
    </row>
    <row r="96" spans="1:3">
      <c r="A96" s="30"/>
    </row>
    <row r="97" spans="1:1">
      <c r="A97" s="30"/>
    </row>
    <row r="98" spans="1:1">
      <c r="A98" s="30"/>
    </row>
    <row r="99" spans="1:1">
      <c r="A99" s="30"/>
    </row>
    <row r="100" spans="1:1">
      <c r="A100" s="30"/>
    </row>
    <row r="101" spans="1:1">
      <c r="A101" s="30"/>
    </row>
    <row r="102" spans="1:1">
      <c r="A102" s="30"/>
    </row>
    <row r="103" spans="1:1">
      <c r="A103" s="30"/>
    </row>
    <row r="104" spans="1:1">
      <c r="A104" s="30"/>
    </row>
    <row r="105" spans="1:1">
      <c r="A105" s="30"/>
    </row>
    <row r="106" spans="1:1">
      <c r="A106" s="30"/>
    </row>
    <row r="107" spans="1:1">
      <c r="A107" s="30"/>
    </row>
    <row r="108" spans="1:1">
      <c r="A108" s="30"/>
    </row>
    <row r="109" spans="1:1">
      <c r="A109" s="30"/>
    </row>
    <row r="110" spans="1:1">
      <c r="A110" s="30"/>
    </row>
    <row r="111" spans="1:1">
      <c r="A111" s="30"/>
    </row>
    <row r="112" spans="1:1">
      <c r="A112" s="30"/>
    </row>
    <row r="113" spans="1:1">
      <c r="A113" s="30"/>
    </row>
    <row r="114" spans="1:1">
      <c r="A114" s="30"/>
    </row>
    <row r="115" spans="1:1">
      <c r="A115" s="30"/>
    </row>
    <row r="116" spans="1:1">
      <c r="A116" s="30"/>
    </row>
    <row r="117" spans="1:1">
      <c r="A117" s="30"/>
    </row>
    <row r="118" spans="1:1">
      <c r="A118" s="30"/>
    </row>
    <row r="119" spans="1:1">
      <c r="A119" s="30"/>
    </row>
    <row r="120" spans="1:1">
      <c r="A120" s="30"/>
    </row>
    <row r="121" spans="1:1">
      <c r="A121" s="30"/>
    </row>
    <row r="122" spans="1:1">
      <c r="A122" s="30"/>
    </row>
    <row r="123" spans="1:1">
      <c r="A123" s="30"/>
    </row>
    <row r="124" spans="1:1">
      <c r="A124" s="30"/>
    </row>
  </sheetData>
  <mergeCells count="22">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C9:C13"/>
    <mergeCell ref="C42:C43"/>
    <mergeCell ref="C2:C4"/>
    <mergeCell ref="A36:A37"/>
    <mergeCell ref="C30:C33"/>
    <mergeCell ref="A40:A41"/>
  </mergeCells>
  <pageMargins left="0.62992125984251968" right="0.23622047244094491" top="0.74803149606299213" bottom="0" header="0.31496062992125978" footer="0.31496062992125978"/>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132" t="s">
        <v>3</v>
      </c>
      <c r="B4" s="107"/>
      <c r="C4" s="107"/>
      <c r="D4" s="107"/>
      <c r="E4" s="107"/>
      <c r="F4" s="107"/>
      <c r="G4" s="107"/>
      <c r="H4" s="107"/>
    </row>
    <row r="7" spans="1:8" ht="25.05" customHeight="1">
      <c r="A7" s="26"/>
      <c r="B7" s="26"/>
      <c r="C7" s="26"/>
      <c r="D7" s="26"/>
      <c r="E7" s="26"/>
      <c r="F7" s="26"/>
      <c r="G7" s="26"/>
    </row>
    <row r="8" spans="1:8" ht="25.05" customHeight="1">
      <c r="A8" s="26"/>
      <c r="B8" s="26"/>
      <c r="C8" s="26"/>
      <c r="D8" s="26"/>
      <c r="E8" s="26"/>
      <c r="F8" s="26"/>
      <c r="G8" s="26"/>
    </row>
    <row r="9" spans="1:8" ht="25.05" customHeight="1">
      <c r="A9" s="26"/>
      <c r="B9" s="26"/>
      <c r="C9" s="26"/>
      <c r="D9" s="26"/>
      <c r="E9" s="26"/>
      <c r="F9" s="26"/>
      <c r="G9" s="26"/>
    </row>
    <row r="10" spans="1:8" ht="25.05" customHeight="1">
      <c r="A10" s="26"/>
      <c r="B10" s="26"/>
      <c r="C10" s="26"/>
      <c r="D10" s="26"/>
      <c r="E10" s="26"/>
      <c r="F10" s="26"/>
      <c r="G10" s="26"/>
    </row>
    <row r="11" spans="1:8" ht="25.05" customHeight="1">
      <c r="A11" s="26"/>
      <c r="B11" s="26"/>
      <c r="C11" s="26"/>
      <c r="D11" s="26"/>
      <c r="E11" s="26"/>
      <c r="F11" s="26"/>
      <c r="G11" s="26"/>
    </row>
    <row r="12" spans="1:8" ht="25.05" customHeight="1">
      <c r="A12" s="26"/>
      <c r="B12" s="26"/>
      <c r="C12" s="26"/>
      <c r="D12" s="26"/>
      <c r="E12" s="26"/>
      <c r="F12" s="26"/>
      <c r="G12" s="26"/>
    </row>
    <row r="13" spans="1:8" ht="25.05" customHeight="1">
      <c r="A13" s="26"/>
      <c r="B13" s="26"/>
      <c r="C13" s="26"/>
      <c r="D13" s="26"/>
      <c r="E13" s="26"/>
      <c r="F13" s="26"/>
      <c r="G13" s="26"/>
    </row>
    <row r="14" spans="1:8" ht="25.05" customHeight="1">
      <c r="A14" s="26"/>
      <c r="B14" s="26"/>
      <c r="C14" s="26"/>
      <c r="D14" s="26"/>
      <c r="E14" s="26"/>
      <c r="F14" s="26"/>
      <c r="G14" s="26"/>
    </row>
    <row r="15" spans="1:8" ht="25.05" customHeight="1">
      <c r="A15" s="26"/>
      <c r="B15" s="26"/>
      <c r="C15" s="26"/>
      <c r="D15" s="26"/>
      <c r="E15" s="26"/>
      <c r="F15" s="26"/>
      <c r="G15" s="26"/>
    </row>
    <row r="16" spans="1:8" ht="25.05" customHeight="1">
      <c r="A16" s="26"/>
      <c r="B16" s="26"/>
      <c r="C16" s="26"/>
      <c r="D16" s="26"/>
      <c r="E16" s="26"/>
      <c r="F16" s="26"/>
      <c r="G16" s="26"/>
    </row>
    <row r="17" spans="1:7" ht="25.05" customHeight="1">
      <c r="A17" s="26"/>
      <c r="B17" s="26"/>
      <c r="C17" s="26"/>
      <c r="D17" s="26"/>
      <c r="E17" s="26"/>
      <c r="F17" s="26"/>
      <c r="G17" s="26"/>
    </row>
    <row r="18" spans="1:7" ht="25.05" customHeight="1">
      <c r="A18" s="26"/>
      <c r="B18" s="26"/>
      <c r="C18" s="26"/>
      <c r="D18" s="26"/>
      <c r="E18" s="26"/>
      <c r="F18" s="26"/>
      <c r="G18" s="26"/>
    </row>
    <row r="19" spans="1:7" ht="25.05" customHeight="1">
      <c r="A19" s="26"/>
      <c r="B19" s="26"/>
      <c r="C19" s="26"/>
      <c r="D19" s="26"/>
      <c r="E19" s="26"/>
      <c r="F19" s="26"/>
      <c r="G19" s="26"/>
    </row>
    <row r="20" spans="1:7" ht="25.05" customHeight="1">
      <c r="A20" s="26"/>
      <c r="B20" s="26"/>
      <c r="C20" s="26"/>
      <c r="D20" s="26"/>
      <c r="E20" s="26"/>
      <c r="F20" s="26"/>
      <c r="G20" s="26"/>
    </row>
    <row r="21" spans="1:7" ht="25.05" customHeight="1">
      <c r="A21" s="26"/>
      <c r="B21" s="26"/>
      <c r="C21" s="26"/>
      <c r="D21" s="26"/>
      <c r="E21" s="26"/>
      <c r="F21" s="26"/>
      <c r="G21" s="26"/>
    </row>
    <row r="22" spans="1:7" ht="25.05" customHeight="1">
      <c r="A22" s="26"/>
      <c r="B22" s="26"/>
      <c r="C22" s="26"/>
      <c r="D22" s="26"/>
      <c r="E22" s="26"/>
      <c r="F22" s="26"/>
      <c r="G22" s="26"/>
    </row>
    <row r="23" spans="1:7" ht="25.05" customHeight="1">
      <c r="A23" s="26"/>
      <c r="B23" s="26"/>
      <c r="C23" s="26"/>
      <c r="D23" s="26"/>
      <c r="E23" s="26"/>
      <c r="F23" s="26"/>
      <c r="G23" s="26"/>
    </row>
    <row r="24" spans="1:7" ht="25.05" customHeight="1">
      <c r="A24" s="26"/>
      <c r="B24" s="26"/>
      <c r="C24" s="26"/>
      <c r="D24" s="26"/>
      <c r="E24" s="26"/>
      <c r="F24" s="26"/>
      <c r="G24" s="26"/>
    </row>
    <row r="25" spans="1:7" ht="25.05" customHeight="1">
      <c r="A25" s="26"/>
      <c r="B25" s="26"/>
      <c r="C25" s="26"/>
      <c r="D25" s="26"/>
      <c r="E25" s="26"/>
      <c r="F25" s="26"/>
      <c r="G25" s="26"/>
    </row>
    <row r="26" spans="1:7" ht="25.05" customHeight="1">
      <c r="A26" s="26"/>
      <c r="B26" s="26"/>
      <c r="C26" s="26"/>
      <c r="D26" s="26"/>
      <c r="E26" s="26"/>
      <c r="F26" s="26"/>
      <c r="G26" s="26"/>
    </row>
    <row r="27" spans="1:7" ht="25.05" customHeight="1">
      <c r="A27" s="26"/>
      <c r="B27" s="26"/>
      <c r="C27" s="26"/>
      <c r="D27" s="26"/>
      <c r="E27" s="26"/>
      <c r="F27" s="26"/>
      <c r="G27" s="26"/>
    </row>
    <row r="28" spans="1:7" ht="25.05" customHeight="1">
      <c r="A28" s="26"/>
      <c r="B28" s="26"/>
      <c r="C28" s="26"/>
      <c r="D28" s="26"/>
      <c r="E28" s="26"/>
      <c r="F28" s="26"/>
      <c r="G28" s="26"/>
    </row>
    <row r="29" spans="1:7" ht="25.05" customHeight="1"/>
    <row r="30" spans="1:7" ht="25.05" customHeight="1"/>
  </sheetData>
  <mergeCells count="1">
    <mergeCell ref="A4:H4"/>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F46"/>
  <sheetViews>
    <sheetView workbookViewId="0">
      <selection activeCell="A3" sqref="A3:F3"/>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s>
  <sheetData>
    <row r="1" spans="1:6" ht="30" customHeight="1">
      <c r="A1" s="146" t="s">
        <v>107</v>
      </c>
      <c r="B1" s="146"/>
      <c r="C1" s="146"/>
      <c r="D1" s="146"/>
      <c r="E1" s="146"/>
      <c r="F1" s="146"/>
    </row>
    <row r="2" spans="1:6" ht="18" customHeight="1">
      <c r="A2" s="147" t="s">
        <v>108</v>
      </c>
      <c r="B2" s="147"/>
      <c r="C2" s="147"/>
      <c r="D2" s="147"/>
      <c r="E2" s="147"/>
      <c r="F2" s="147"/>
    </row>
    <row r="3" spans="1:6" ht="22.05" customHeight="1">
      <c r="A3" s="134" t="s">
        <v>161</v>
      </c>
      <c r="B3" s="135"/>
      <c r="C3" s="135"/>
      <c r="D3" s="135"/>
      <c r="E3" s="135"/>
      <c r="F3" s="136"/>
    </row>
    <row r="4" spans="1:6" ht="18" customHeight="1">
      <c r="A4" s="84" t="s">
        <v>109</v>
      </c>
      <c r="B4" s="137" t="s">
        <v>110</v>
      </c>
      <c r="C4" s="138"/>
      <c r="D4" s="139"/>
      <c r="E4" s="137" t="s">
        <v>157</v>
      </c>
      <c r="F4" s="138"/>
    </row>
    <row r="5" spans="1:6" ht="16.05" customHeight="1">
      <c r="A5" s="85">
        <v>1</v>
      </c>
      <c r="B5" s="140"/>
      <c r="C5" s="141"/>
      <c r="D5" s="142"/>
      <c r="E5" s="140"/>
      <c r="F5" s="141"/>
    </row>
    <row r="6" spans="1:6" ht="16.05" customHeight="1">
      <c r="A6" s="87">
        <v>2</v>
      </c>
      <c r="B6" s="143"/>
      <c r="C6" s="144"/>
      <c r="D6" s="145"/>
      <c r="E6" s="143"/>
      <c r="F6" s="144"/>
    </row>
    <row r="7" spans="1:6" ht="16.05" customHeight="1">
      <c r="A7" s="85">
        <v>3</v>
      </c>
      <c r="B7" s="140"/>
      <c r="C7" s="141"/>
      <c r="D7" s="142"/>
      <c r="E7" s="140"/>
      <c r="F7" s="141"/>
    </row>
    <row r="8" spans="1:6" ht="16.05" customHeight="1">
      <c r="A8" s="87">
        <v>4</v>
      </c>
      <c r="B8" s="143"/>
      <c r="C8" s="144"/>
      <c r="D8" s="145"/>
      <c r="E8" s="143"/>
      <c r="F8" s="144"/>
    </row>
    <row r="9" spans="1:6" ht="16.05" customHeight="1">
      <c r="A9" s="85">
        <v>5</v>
      </c>
      <c r="B9" s="140"/>
      <c r="C9" s="141"/>
      <c r="D9" s="142"/>
      <c r="E9" s="140"/>
      <c r="F9" s="141"/>
    </row>
    <row r="10" spans="1:6" ht="16.05" customHeight="1">
      <c r="A10" s="87">
        <v>6</v>
      </c>
      <c r="B10" s="143"/>
      <c r="C10" s="144"/>
      <c r="D10" s="145"/>
      <c r="E10" s="143"/>
      <c r="F10" s="144"/>
    </row>
    <row r="11" spans="1:6" ht="16.05" customHeight="1">
      <c r="A11" s="85">
        <v>7</v>
      </c>
      <c r="B11" s="140"/>
      <c r="C11" s="141"/>
      <c r="D11" s="142"/>
      <c r="E11" s="140"/>
      <c r="F11" s="141"/>
    </row>
    <row r="12" spans="1:6" ht="16.05" customHeight="1">
      <c r="A12" s="87">
        <v>8</v>
      </c>
      <c r="B12" s="143"/>
      <c r="C12" s="144"/>
      <c r="D12" s="145"/>
      <c r="E12" s="143"/>
      <c r="F12" s="144"/>
    </row>
    <row r="13" spans="1:6" ht="16.05" customHeight="1">
      <c r="A13" s="85">
        <v>9</v>
      </c>
      <c r="B13" s="140"/>
      <c r="C13" s="141"/>
      <c r="D13" s="142"/>
      <c r="E13" s="140"/>
      <c r="F13" s="141"/>
    </row>
    <row r="14" spans="1:6" ht="16.05" customHeight="1">
      <c r="A14" s="87">
        <v>10</v>
      </c>
      <c r="B14" s="143"/>
      <c r="C14" s="144"/>
      <c r="D14" s="145"/>
      <c r="E14" s="143"/>
      <c r="F14" s="144"/>
    </row>
    <row r="15" spans="1:6" ht="16.05" customHeight="1">
      <c r="A15" s="85">
        <v>11</v>
      </c>
      <c r="B15" s="140"/>
      <c r="C15" s="141"/>
      <c r="D15" s="142"/>
      <c r="E15" s="140"/>
      <c r="F15" s="141"/>
    </row>
    <row r="16" spans="1:6" ht="16.05" customHeight="1">
      <c r="A16" s="87">
        <v>12</v>
      </c>
      <c r="B16" s="143"/>
      <c r="C16" s="144"/>
      <c r="D16" s="145"/>
      <c r="E16" s="143"/>
      <c r="F16" s="144"/>
    </row>
    <row r="17" spans="1:6" ht="16.05" customHeight="1">
      <c r="A17" s="85">
        <v>13</v>
      </c>
      <c r="B17" s="140"/>
      <c r="C17" s="141"/>
      <c r="D17" s="142"/>
      <c r="E17" s="140"/>
      <c r="F17" s="141"/>
    </row>
    <row r="18" spans="1:6" ht="16.05" customHeight="1">
      <c r="A18" s="87">
        <v>14</v>
      </c>
      <c r="B18" s="143"/>
      <c r="C18" s="144"/>
      <c r="D18" s="145"/>
      <c r="E18" s="143"/>
      <c r="F18" s="144"/>
    </row>
    <row r="19" spans="1:6" ht="16.05" customHeight="1">
      <c r="A19" s="85">
        <v>15</v>
      </c>
      <c r="B19" s="140"/>
      <c r="C19" s="141"/>
      <c r="D19" s="142"/>
      <c r="E19" s="140"/>
      <c r="F19" s="141"/>
    </row>
    <row r="20" spans="1:6" ht="16.05" customHeight="1">
      <c r="A20" s="87">
        <v>16</v>
      </c>
      <c r="B20" s="143"/>
      <c r="C20" s="144"/>
      <c r="D20" s="145"/>
      <c r="E20" s="143"/>
      <c r="F20" s="144"/>
    </row>
    <row r="21" spans="1:6" ht="16.05" customHeight="1">
      <c r="A21" s="85">
        <v>17</v>
      </c>
      <c r="B21" s="140"/>
      <c r="C21" s="141"/>
      <c r="D21" s="142"/>
      <c r="E21" s="140"/>
      <c r="F21" s="141"/>
    </row>
    <row r="22" spans="1:6" ht="16.05" customHeight="1">
      <c r="A22" s="87">
        <v>18</v>
      </c>
      <c r="B22" s="143"/>
      <c r="C22" s="144"/>
      <c r="D22" s="145"/>
      <c r="E22" s="143"/>
      <c r="F22" s="144"/>
    </row>
    <row r="23" spans="1:6" ht="16.05" customHeight="1">
      <c r="A23" s="85">
        <v>19</v>
      </c>
      <c r="B23" s="140"/>
      <c r="C23" s="141"/>
      <c r="D23" s="142"/>
      <c r="E23" s="140"/>
      <c r="F23" s="141"/>
    </row>
    <row r="24" spans="1:6" ht="16.05" customHeight="1">
      <c r="A24" s="87">
        <v>20</v>
      </c>
      <c r="B24" s="143"/>
      <c r="C24" s="144"/>
      <c r="D24" s="145"/>
      <c r="E24" s="143"/>
      <c r="F24" s="144"/>
    </row>
    <row r="25" spans="1:6" ht="16.05" customHeight="1">
      <c r="A25" s="85">
        <v>21</v>
      </c>
      <c r="B25" s="140"/>
      <c r="C25" s="141"/>
      <c r="D25" s="142"/>
      <c r="E25" s="140"/>
      <c r="F25" s="141"/>
    </row>
    <row r="26" spans="1:6" ht="16.05" customHeight="1">
      <c r="A26" s="87">
        <v>22</v>
      </c>
      <c r="B26" s="143"/>
      <c r="C26" s="144"/>
      <c r="D26" s="145"/>
      <c r="E26" s="143"/>
      <c r="F26" s="144"/>
    </row>
    <row r="27" spans="1:6" ht="16.05" customHeight="1">
      <c r="A27" s="85">
        <v>23</v>
      </c>
      <c r="B27" s="140"/>
      <c r="C27" s="141"/>
      <c r="D27" s="142"/>
      <c r="E27" s="140"/>
      <c r="F27" s="141"/>
    </row>
    <row r="28" spans="1:6" ht="16.05" customHeight="1">
      <c r="A28" s="87">
        <v>24</v>
      </c>
      <c r="B28" s="143"/>
      <c r="C28" s="144"/>
      <c r="D28" s="145"/>
      <c r="E28" s="143"/>
      <c r="F28" s="144"/>
    </row>
    <row r="29" spans="1:6" ht="16.05" customHeight="1">
      <c r="A29" s="85">
        <v>25</v>
      </c>
      <c r="B29" s="140"/>
      <c r="C29" s="141"/>
      <c r="D29" s="142"/>
      <c r="E29" s="140"/>
      <c r="F29" s="141"/>
    </row>
    <row r="30" spans="1:6" ht="16.05" customHeight="1">
      <c r="A30" s="87">
        <v>26</v>
      </c>
      <c r="B30" s="143"/>
      <c r="C30" s="144"/>
      <c r="D30" s="145"/>
      <c r="E30" s="143"/>
      <c r="F30" s="144"/>
    </row>
    <row r="31" spans="1:6" ht="16.05" customHeight="1">
      <c r="A31" s="85">
        <v>27</v>
      </c>
      <c r="B31" s="140"/>
      <c r="C31" s="141"/>
      <c r="D31" s="142"/>
      <c r="E31" s="140"/>
      <c r="F31" s="141"/>
    </row>
    <row r="32" spans="1:6" ht="16.05" customHeight="1">
      <c r="A32" s="87">
        <v>28</v>
      </c>
      <c r="B32" s="143"/>
      <c r="C32" s="144"/>
      <c r="D32" s="145"/>
      <c r="E32" s="143"/>
      <c r="F32" s="144"/>
    </row>
    <row r="33" spans="1:6" ht="16.05" customHeight="1">
      <c r="A33" s="85">
        <v>29</v>
      </c>
      <c r="B33" s="140"/>
      <c r="C33" s="141"/>
      <c r="D33" s="142"/>
      <c r="E33" s="140"/>
      <c r="F33" s="141"/>
    </row>
    <row r="34" spans="1:6" ht="16.05" customHeight="1">
      <c r="A34" s="87">
        <v>30</v>
      </c>
      <c r="B34" s="143"/>
      <c r="C34" s="144"/>
      <c r="D34" s="145"/>
      <c r="E34" s="143"/>
      <c r="F34" s="144"/>
    </row>
    <row r="35" spans="1:6" ht="16.05" customHeight="1">
      <c r="A35" s="85">
        <v>31</v>
      </c>
      <c r="B35" s="140"/>
      <c r="C35" s="141"/>
      <c r="D35" s="142"/>
      <c r="E35" s="140"/>
      <c r="F35" s="141"/>
    </row>
    <row r="36" spans="1:6" ht="16.05" customHeight="1">
      <c r="A36" s="87">
        <v>32</v>
      </c>
      <c r="B36" s="143"/>
      <c r="C36" s="144"/>
      <c r="D36" s="145"/>
      <c r="E36" s="143"/>
      <c r="F36" s="144"/>
    </row>
    <row r="37" spans="1:6" ht="16.05" customHeight="1">
      <c r="A37" s="85">
        <v>33</v>
      </c>
      <c r="B37" s="140"/>
      <c r="C37" s="141"/>
      <c r="D37" s="142"/>
      <c r="E37" s="140"/>
      <c r="F37" s="141"/>
    </row>
    <row r="38" spans="1:6" ht="16.05" customHeight="1">
      <c r="A38" s="87">
        <v>34</v>
      </c>
      <c r="B38" s="143"/>
      <c r="C38" s="144"/>
      <c r="D38" s="145"/>
      <c r="E38" s="143"/>
      <c r="F38" s="144"/>
    </row>
    <row r="39" spans="1:6" ht="16.05" customHeight="1">
      <c r="A39" s="85">
        <v>35</v>
      </c>
      <c r="B39" s="140"/>
      <c r="C39" s="141"/>
      <c r="D39" s="142"/>
      <c r="E39" s="140"/>
      <c r="F39" s="141"/>
    </row>
    <row r="40" spans="1:6" ht="16.05" customHeight="1">
      <c r="A40" s="87">
        <v>36</v>
      </c>
      <c r="B40" s="143"/>
      <c r="C40" s="144"/>
      <c r="D40" s="145"/>
      <c r="E40" s="143"/>
      <c r="F40" s="144"/>
    </row>
    <row r="41" spans="1:6" ht="16.05" customHeight="1">
      <c r="A41" s="85">
        <v>37</v>
      </c>
      <c r="B41" s="140"/>
      <c r="C41" s="141"/>
      <c r="D41" s="142"/>
      <c r="E41" s="140"/>
      <c r="F41" s="141"/>
    </row>
    <row r="42" spans="1:6" ht="16.05" customHeight="1">
      <c r="A42" s="87">
        <v>38</v>
      </c>
      <c r="B42" s="143"/>
      <c r="C42" s="144"/>
      <c r="D42" s="145"/>
      <c r="E42" s="143"/>
      <c r="F42" s="144"/>
    </row>
    <row r="43" spans="1:6" ht="16.05" customHeight="1">
      <c r="A43" s="85">
        <v>39</v>
      </c>
      <c r="B43" s="140"/>
      <c r="C43" s="141"/>
      <c r="D43" s="142"/>
      <c r="E43" s="140"/>
      <c r="F43" s="141"/>
    </row>
    <row r="44" spans="1:6" ht="16.05" customHeight="1">
      <c r="A44" s="87">
        <v>40</v>
      </c>
      <c r="B44" s="143"/>
      <c r="C44" s="144"/>
      <c r="D44" s="145"/>
      <c r="E44" s="143"/>
      <c r="F44" s="144"/>
    </row>
    <row r="46" spans="1:6">
      <c r="A46" s="133" t="s">
        <v>111</v>
      </c>
      <c r="B46" s="107"/>
      <c r="C46" s="107"/>
      <c r="D46" s="107"/>
      <c r="E46" s="107"/>
      <c r="F46" s="107"/>
    </row>
  </sheetData>
  <mergeCells count="86">
    <mergeCell ref="E43:F43"/>
    <mergeCell ref="E44:F44"/>
    <mergeCell ref="A1:F1"/>
    <mergeCell ref="A2:F2"/>
    <mergeCell ref="E38:F38"/>
    <mergeCell ref="E39:F39"/>
    <mergeCell ref="E40:F40"/>
    <mergeCell ref="E41:F41"/>
    <mergeCell ref="E42:F42"/>
    <mergeCell ref="E33:F33"/>
    <mergeCell ref="E34:F34"/>
    <mergeCell ref="E35:F35"/>
    <mergeCell ref="E36:F36"/>
    <mergeCell ref="E37:F37"/>
    <mergeCell ref="E28:F28"/>
    <mergeCell ref="E29:F29"/>
    <mergeCell ref="E30:F30"/>
    <mergeCell ref="E31:F31"/>
    <mergeCell ref="E32:F32"/>
    <mergeCell ref="E23:F23"/>
    <mergeCell ref="E24:F24"/>
    <mergeCell ref="E25:F25"/>
    <mergeCell ref="E26:F26"/>
    <mergeCell ref="E27:F27"/>
    <mergeCell ref="E18:F18"/>
    <mergeCell ref="E19:F19"/>
    <mergeCell ref="E20:F20"/>
    <mergeCell ref="E21:F21"/>
    <mergeCell ref="E22:F22"/>
    <mergeCell ref="B43:D43"/>
    <mergeCell ref="B44:D44"/>
    <mergeCell ref="E4:F4"/>
    <mergeCell ref="E5:F5"/>
    <mergeCell ref="E6:F6"/>
    <mergeCell ref="E7:F7"/>
    <mergeCell ref="E8:F8"/>
    <mergeCell ref="E9:F9"/>
    <mergeCell ref="E10:F10"/>
    <mergeCell ref="E11:F11"/>
    <mergeCell ref="E12:F12"/>
    <mergeCell ref="E13:F13"/>
    <mergeCell ref="E14:F14"/>
    <mergeCell ref="E15:F15"/>
    <mergeCell ref="E16:F16"/>
    <mergeCell ref="E17:F17"/>
    <mergeCell ref="B38:D38"/>
    <mergeCell ref="B39:D39"/>
    <mergeCell ref="B40:D40"/>
    <mergeCell ref="B41:D41"/>
    <mergeCell ref="B42:D42"/>
    <mergeCell ref="B33:D33"/>
    <mergeCell ref="B34:D34"/>
    <mergeCell ref="B35:D35"/>
    <mergeCell ref="B36:D36"/>
    <mergeCell ref="B37:D37"/>
    <mergeCell ref="B28:D28"/>
    <mergeCell ref="B29:D29"/>
    <mergeCell ref="B30:D30"/>
    <mergeCell ref="B31:D31"/>
    <mergeCell ref="B32:D32"/>
    <mergeCell ref="B23:D23"/>
    <mergeCell ref="B24:D24"/>
    <mergeCell ref="B25:D25"/>
    <mergeCell ref="B26:D26"/>
    <mergeCell ref="B27:D27"/>
    <mergeCell ref="B18:D18"/>
    <mergeCell ref="B19:D19"/>
    <mergeCell ref="B20:D20"/>
    <mergeCell ref="B21:D21"/>
    <mergeCell ref="B22:D22"/>
    <mergeCell ref="A46:F46"/>
    <mergeCell ref="A3:F3"/>
    <mergeCell ref="B4:D4"/>
    <mergeCell ref="B5:D5"/>
    <mergeCell ref="B6:D6"/>
    <mergeCell ref="B7:D7"/>
    <mergeCell ref="B8:D8"/>
    <mergeCell ref="B9:D9"/>
    <mergeCell ref="B10:D10"/>
    <mergeCell ref="B11:D11"/>
    <mergeCell ref="B12:D12"/>
    <mergeCell ref="B13:D13"/>
    <mergeCell ref="B14:D14"/>
    <mergeCell ref="B15:D15"/>
    <mergeCell ref="B16:D16"/>
    <mergeCell ref="B17: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L121"/>
  <sheetViews>
    <sheetView workbookViewId="0">
      <pane ySplit="1" topLeftCell="A2" activePane="bottomLeft" state="frozen"/>
      <selection pane="bottomLeft" activeCell="L5" sqref="L5"/>
    </sheetView>
  </sheetViews>
  <sheetFormatPr baseColWidth="10" defaultColWidth="8.88671875" defaultRowHeight="14.4"/>
  <cols>
    <col min="1" max="1" width="5" customWidth="1"/>
    <col min="2" max="2" width="30" customWidth="1"/>
    <col min="3" max="11" width="5.6640625" customWidth="1"/>
    <col min="12" max="12" width="19.21875" customWidth="1"/>
  </cols>
  <sheetData>
    <row r="1" spans="1:12" ht="22.8" customHeight="1">
      <c r="A1" s="97" t="s">
        <v>139</v>
      </c>
      <c r="B1" s="97"/>
      <c r="C1" s="97"/>
      <c r="D1" s="97"/>
      <c r="E1" s="97"/>
      <c r="F1" s="97"/>
      <c r="G1" s="97"/>
      <c r="H1" s="97"/>
      <c r="I1" s="97"/>
      <c r="J1" s="97"/>
      <c r="K1" s="97"/>
      <c r="L1" s="92"/>
    </row>
    <row r="2" spans="1:12" ht="15" customHeight="1">
      <c r="A2" s="100" t="s">
        <v>154</v>
      </c>
      <c r="B2" s="101"/>
      <c r="C2" s="101"/>
      <c r="D2" s="101"/>
      <c r="E2" s="101"/>
      <c r="F2" s="101"/>
      <c r="G2" s="101"/>
      <c r="H2" s="101"/>
      <c r="I2" s="101"/>
      <c r="J2" s="101"/>
      <c r="K2" s="101"/>
      <c r="L2" s="101"/>
    </row>
    <row r="3" spans="1:12" ht="52.8" customHeight="1">
      <c r="A3" s="104" t="s">
        <v>109</v>
      </c>
      <c r="B3" s="104" t="s">
        <v>110</v>
      </c>
      <c r="C3" s="96" t="s">
        <v>129</v>
      </c>
      <c r="D3" s="96" t="s">
        <v>143</v>
      </c>
      <c r="E3" s="96" t="s">
        <v>144</v>
      </c>
      <c r="F3" s="96" t="s">
        <v>145</v>
      </c>
      <c r="G3" s="96" t="s">
        <v>146</v>
      </c>
      <c r="H3" s="96" t="s">
        <v>151</v>
      </c>
      <c r="I3" s="96" t="s">
        <v>152</v>
      </c>
      <c r="J3" s="96" t="s">
        <v>149</v>
      </c>
      <c r="K3" s="96" t="s">
        <v>153</v>
      </c>
      <c r="L3" s="102" t="s">
        <v>114</v>
      </c>
    </row>
    <row r="4" spans="1:12" ht="18" customHeight="1">
      <c r="A4" s="105"/>
      <c r="B4" s="105"/>
      <c r="C4" s="84" t="s">
        <v>115</v>
      </c>
      <c r="D4" s="84" t="s">
        <v>115</v>
      </c>
      <c r="E4" s="84" t="s">
        <v>115</v>
      </c>
      <c r="F4" s="84" t="s">
        <v>115</v>
      </c>
      <c r="G4" s="84" t="s">
        <v>115</v>
      </c>
      <c r="H4" s="84" t="s">
        <v>115</v>
      </c>
      <c r="I4" s="84" t="s">
        <v>115</v>
      </c>
      <c r="J4" s="84" t="s">
        <v>115</v>
      </c>
      <c r="K4" s="84" t="s">
        <v>115</v>
      </c>
      <c r="L4" s="103"/>
    </row>
    <row r="5" spans="1:12" ht="16.05" customHeight="1">
      <c r="A5" s="87">
        <v>1</v>
      </c>
      <c r="B5" s="88" t="str">
        <f>IF(MAESTRO!B5="","",MAESTRO!B5)</f>
        <v/>
      </c>
      <c r="C5" s="89" t="str">
        <f>IF(MAESTRO!F5="","",IFERROR('Planilla (Ingles) '!F16,""))</f>
        <v/>
      </c>
      <c r="D5" s="89" t="str">
        <f>IF(MAESTRO!I5="","",IFERROR('Planilla (Español)'!F16,""))</f>
        <v/>
      </c>
      <c r="E5" s="89" t="str">
        <f>IF(MAESTRO!M5="","",IFERROR('Planilla (Matematica)'!F16,""))</f>
        <v/>
      </c>
      <c r="F5" s="89" t="str">
        <f>IF(MAESTRO!Q5="","",IFERROR('Planilla (C. Sociales)'!F16,""))</f>
        <v/>
      </c>
      <c r="G5" s="89" t="str">
        <f>IF(MAESTRO!B5="","",IFERROR('Planilla (C. Naturales)'!F16,""))</f>
        <v/>
      </c>
      <c r="H5" s="89" t="str">
        <f>IF(MAESTRO!F5="","",IFERROR('Planilla (Religión)'!F16,""))</f>
        <v/>
      </c>
      <c r="I5" s="89" t="str">
        <f>IF(MAESTRO!B5="","",IFERROR('Planilla (E. Artisticas)'!F16,""))</f>
        <v/>
      </c>
      <c r="J5" s="89" t="str">
        <f>IF(MAESTRO!M5="","",IFERROR('Planilla (Tecnologia)'!F16,""))</f>
        <v/>
      </c>
      <c r="K5" s="89" t="str">
        <f>IF(MAESTRO!N5="","",IFERROR('Planilla (E. Fisica)'!F16,""))</f>
        <v/>
      </c>
      <c r="L5" s="89"/>
    </row>
    <row r="6" spans="1:12" ht="16.05" customHeight="1">
      <c r="A6" s="85">
        <v>2</v>
      </c>
      <c r="B6" s="86" t="str">
        <f>IF(MAESTRO!B6="","",MAESTRO!B6)</f>
        <v/>
      </c>
      <c r="C6" s="90" t="str">
        <f>IF(MAESTRO!F6="","",IFERROR('Planilla (Ingles) '!F17,""))</f>
        <v/>
      </c>
      <c r="D6" s="90" t="str">
        <f>IF(MAESTRO!I6="","",IFERROR('Planilla (Español)'!F17,""))</f>
        <v/>
      </c>
      <c r="E6" s="90" t="str">
        <f>IF(MAESTRO!M6="","",IFERROR('Planilla (Matematica)'!F17,""))</f>
        <v/>
      </c>
      <c r="F6" s="90" t="str">
        <f>IF(MAESTRO!Q6="","",IFERROR('Planilla (C. Sociales)'!F17,""))</f>
        <v/>
      </c>
      <c r="G6" s="90" t="str">
        <f>IF(MAESTRO!B6="","",IFERROR('Planilla (C. Naturales)'!F17,""))</f>
        <v/>
      </c>
      <c r="H6" s="90" t="str">
        <f>IF(MAESTRO!F6="","",IFERROR('Planilla (Religión)'!F17,""))</f>
        <v/>
      </c>
      <c r="I6" s="90" t="str">
        <f>IF(MAESTRO!B6="","",IFERROR('Planilla (E. Artisticas)'!F17,""))</f>
        <v/>
      </c>
      <c r="J6" s="90" t="str">
        <f>IF(MAESTRO!M6="","",IFERROR('Planilla (Tecnologia)'!F17,""))</f>
        <v/>
      </c>
      <c r="K6" s="90" t="str">
        <f>IF(MAESTRO!N6="","",IFERROR('Planilla (E. Fisica)'!F17,""))</f>
        <v/>
      </c>
      <c r="L6" s="90"/>
    </row>
    <row r="7" spans="1:12" ht="16.05" customHeight="1">
      <c r="A7" s="87">
        <v>3</v>
      </c>
      <c r="B7" s="88" t="str">
        <f>IF(MAESTRO!B7="","",MAESTRO!B7)</f>
        <v/>
      </c>
      <c r="C7" s="89" t="str">
        <f>IF(MAESTRO!F7="","",IFERROR('Planilla (Ingles) '!F18,""))</f>
        <v/>
      </c>
      <c r="D7" s="89" t="str">
        <f>IF(MAESTRO!I7="","",IFERROR('Planilla (Español)'!F18,""))</f>
        <v/>
      </c>
      <c r="E7" s="89" t="str">
        <f>IF(MAESTRO!M7="","",IFERROR('Planilla (Matematica)'!F18,""))</f>
        <v/>
      </c>
      <c r="F7" s="89" t="str">
        <f>IF(MAESTRO!Q7="","",IFERROR('Planilla (C. Sociales)'!F18,""))</f>
        <v/>
      </c>
      <c r="G7" s="89" t="str">
        <f>IF(MAESTRO!B7="","",IFERROR('Planilla (C. Naturales)'!F18,""))</f>
        <v/>
      </c>
      <c r="H7" s="89" t="str">
        <f>IF(MAESTRO!F7="","",IFERROR('Planilla (Religión)'!F18,""))</f>
        <v/>
      </c>
      <c r="I7" s="89" t="str">
        <f>IF(MAESTRO!B7="","",IFERROR('Planilla (E. Artisticas)'!F18,""))</f>
        <v/>
      </c>
      <c r="J7" s="89" t="str">
        <f>IF(MAESTRO!M7="","",IFERROR('Planilla (Tecnologia)'!F18,""))</f>
        <v/>
      </c>
      <c r="K7" s="89" t="str">
        <f>IF(MAESTRO!N7="","",IFERROR('Planilla (E. Fisica)'!F18,""))</f>
        <v/>
      </c>
      <c r="L7" s="89"/>
    </row>
    <row r="8" spans="1:12" ht="16.05" customHeight="1">
      <c r="A8" s="85">
        <v>4</v>
      </c>
      <c r="B8" s="86" t="str">
        <f>IF(MAESTRO!B8="","",MAESTRO!B8)</f>
        <v/>
      </c>
      <c r="C8" s="90" t="str">
        <f>IF(MAESTRO!F8="","",IFERROR('Planilla (Ingles) '!F19,""))</f>
        <v/>
      </c>
      <c r="D8" s="90" t="str">
        <f>IF(MAESTRO!I8="","",IFERROR('Planilla (Español)'!F19,""))</f>
        <v/>
      </c>
      <c r="E8" s="90" t="str">
        <f>IF(MAESTRO!M8="","",IFERROR('Planilla (Matematica)'!F19,""))</f>
        <v/>
      </c>
      <c r="F8" s="90" t="str">
        <f>IF(MAESTRO!Q8="","",IFERROR('Planilla (C. Sociales)'!F19,""))</f>
        <v/>
      </c>
      <c r="G8" s="90" t="str">
        <f>IF(MAESTRO!B8="","",IFERROR('Planilla (C. Naturales)'!F19,""))</f>
        <v/>
      </c>
      <c r="H8" s="90" t="str">
        <f>IF(MAESTRO!F8="","",IFERROR('Planilla (Religión)'!F19,""))</f>
        <v/>
      </c>
      <c r="I8" s="90" t="str">
        <f>IF(MAESTRO!B8="","",IFERROR('Planilla (E. Artisticas)'!F19,""))</f>
        <v/>
      </c>
      <c r="J8" s="90" t="str">
        <f>IF(MAESTRO!M8="","",IFERROR('Planilla (Tecnologia)'!F19,""))</f>
        <v/>
      </c>
      <c r="K8" s="90" t="str">
        <f>IF(MAESTRO!N8="","",IFERROR('Planilla (E. Fisica)'!F19,""))</f>
        <v/>
      </c>
      <c r="L8" s="90"/>
    </row>
    <row r="9" spans="1:12" ht="16.05" customHeight="1">
      <c r="A9" s="87">
        <v>5</v>
      </c>
      <c r="B9" s="88" t="str">
        <f>IF(MAESTRO!B9="","",MAESTRO!B9)</f>
        <v/>
      </c>
      <c r="C9" s="89" t="str">
        <f>IF(MAESTRO!F9="","",IFERROR('Planilla (Ingles) '!F20,""))</f>
        <v/>
      </c>
      <c r="D9" s="89" t="str">
        <f>IF(MAESTRO!I9="","",IFERROR('Planilla (Español)'!F20,""))</f>
        <v/>
      </c>
      <c r="E9" s="89" t="str">
        <f>IF(MAESTRO!M9="","",IFERROR('Planilla (Matematica)'!F20,""))</f>
        <v/>
      </c>
      <c r="F9" s="89" t="str">
        <f>IF(MAESTRO!Q9="","",IFERROR('Planilla (C. Sociales)'!F20,""))</f>
        <v/>
      </c>
      <c r="G9" s="89" t="str">
        <f>IF(MAESTRO!B9="","",IFERROR('Planilla (C. Naturales)'!F20,""))</f>
        <v/>
      </c>
      <c r="H9" s="89" t="str">
        <f>IF(MAESTRO!F9="","",IFERROR('Planilla (Religión)'!F20,""))</f>
        <v/>
      </c>
      <c r="I9" s="89" t="str">
        <f>IF(MAESTRO!B9="","",IFERROR('Planilla (E. Artisticas)'!F20,""))</f>
        <v/>
      </c>
      <c r="J9" s="89" t="str">
        <f>IF(MAESTRO!M9="","",IFERROR('Planilla (Tecnologia)'!F20,""))</f>
        <v/>
      </c>
      <c r="K9" s="89" t="str">
        <f>IF(MAESTRO!N9="","",IFERROR('Planilla (E. Fisica)'!F20,""))</f>
        <v/>
      </c>
      <c r="L9" s="89"/>
    </row>
    <row r="10" spans="1:12" ht="16.05" customHeight="1">
      <c r="A10" s="85">
        <v>6</v>
      </c>
      <c r="B10" s="86" t="str">
        <f>IF(MAESTRO!B10="","",MAESTRO!B10)</f>
        <v/>
      </c>
      <c r="C10" s="90" t="str">
        <f>IF(MAESTRO!F10="","",IFERROR('Planilla (Ingles) '!F21,""))</f>
        <v/>
      </c>
      <c r="D10" s="90" t="str">
        <f>IF(MAESTRO!I10="","",IFERROR('Planilla (Español)'!F21,""))</f>
        <v/>
      </c>
      <c r="E10" s="90" t="str">
        <f>IF(MAESTRO!M10="","",IFERROR('Planilla (Matematica)'!F21,""))</f>
        <v/>
      </c>
      <c r="F10" s="90" t="str">
        <f>IF(MAESTRO!Q10="","",IFERROR('Planilla (C. Sociales)'!F21,""))</f>
        <v/>
      </c>
      <c r="G10" s="90" t="str">
        <f>IF(MAESTRO!B10="","",IFERROR('Planilla (C. Naturales)'!F21,""))</f>
        <v/>
      </c>
      <c r="H10" s="90" t="str">
        <f>IF(MAESTRO!F10="","",IFERROR('Planilla (Religión)'!F21,""))</f>
        <v/>
      </c>
      <c r="I10" s="90" t="str">
        <f>IF(MAESTRO!B10="","",IFERROR('Planilla (E. Artisticas)'!F21,""))</f>
        <v/>
      </c>
      <c r="J10" s="90" t="str">
        <f>IF(MAESTRO!M10="","",IFERROR('Planilla (Tecnologia)'!F21,""))</f>
        <v/>
      </c>
      <c r="K10" s="90" t="str">
        <f>IF(MAESTRO!N10="","",IFERROR('Planilla (E. Fisica)'!F21,""))</f>
        <v/>
      </c>
      <c r="L10" s="90"/>
    </row>
    <row r="11" spans="1:12" ht="16.05" customHeight="1">
      <c r="A11" s="87">
        <v>7</v>
      </c>
      <c r="B11" s="88" t="str">
        <f>IF(MAESTRO!B11="","",MAESTRO!B11)</f>
        <v/>
      </c>
      <c r="C11" s="89" t="str">
        <f>IF(MAESTRO!F11="","",IFERROR('Planilla (Ingles) '!F22,""))</f>
        <v/>
      </c>
      <c r="D11" s="89" t="str">
        <f>IF(MAESTRO!I11="","",IFERROR('Planilla (Español)'!F22,""))</f>
        <v/>
      </c>
      <c r="E11" s="89" t="str">
        <f>IF(MAESTRO!M11="","",IFERROR('Planilla (Matematica)'!F22,""))</f>
        <v/>
      </c>
      <c r="F11" s="89" t="str">
        <f>IF(MAESTRO!Q11="","",IFERROR('Planilla (C. Sociales)'!F22,""))</f>
        <v/>
      </c>
      <c r="G11" s="89" t="str">
        <f>IF(MAESTRO!B11="","",IFERROR('Planilla (C. Naturales)'!F22,""))</f>
        <v/>
      </c>
      <c r="H11" s="89" t="str">
        <f>IF(MAESTRO!F11="","",IFERROR('Planilla (Religión)'!F22,""))</f>
        <v/>
      </c>
      <c r="I11" s="89" t="str">
        <f>IF(MAESTRO!B11="","",IFERROR('Planilla (E. Artisticas)'!F22,""))</f>
        <v/>
      </c>
      <c r="J11" s="89" t="str">
        <f>IF(MAESTRO!M11="","",IFERROR('Planilla (Tecnologia)'!F22,""))</f>
        <v/>
      </c>
      <c r="K11" s="89" t="str">
        <f>IF(MAESTRO!N11="","",IFERROR('Planilla (E. Fisica)'!F22,""))</f>
        <v/>
      </c>
      <c r="L11" s="89"/>
    </row>
    <row r="12" spans="1:12" ht="16.05" customHeight="1">
      <c r="A12" s="85">
        <v>8</v>
      </c>
      <c r="B12" s="86" t="str">
        <f>IF(MAESTRO!B12="","",MAESTRO!B12)</f>
        <v/>
      </c>
      <c r="C12" s="90" t="str">
        <f>IF(MAESTRO!F12="","",IFERROR('Planilla (Ingles) '!F23,""))</f>
        <v/>
      </c>
      <c r="D12" s="90" t="str">
        <f>IF(MAESTRO!I12="","",IFERROR('Planilla (Español)'!F23,""))</f>
        <v/>
      </c>
      <c r="E12" s="90" t="str">
        <f>IF(MAESTRO!M12="","",IFERROR('Planilla (Matematica)'!F23,""))</f>
        <v/>
      </c>
      <c r="F12" s="90" t="str">
        <f>IF(MAESTRO!Q12="","",IFERROR('Planilla (C. Sociales)'!F23,""))</f>
        <v/>
      </c>
      <c r="G12" s="90" t="str">
        <f>IF(MAESTRO!B12="","",IFERROR('Planilla (C. Naturales)'!F23,""))</f>
        <v/>
      </c>
      <c r="H12" s="90" t="str">
        <f>IF(MAESTRO!F12="","",IFERROR('Planilla (Religión)'!F23,""))</f>
        <v/>
      </c>
      <c r="I12" s="90" t="str">
        <f>IF(MAESTRO!B12="","",IFERROR('Planilla (E. Artisticas)'!F23,""))</f>
        <v/>
      </c>
      <c r="J12" s="90" t="str">
        <f>IF(MAESTRO!M12="","",IFERROR('Planilla (Tecnologia)'!F23,""))</f>
        <v/>
      </c>
      <c r="K12" s="90" t="str">
        <f>IF(MAESTRO!N12="","",IFERROR('Planilla (E. Fisica)'!F23,""))</f>
        <v/>
      </c>
      <c r="L12" s="90"/>
    </row>
    <row r="13" spans="1:12" ht="16.05" customHeight="1">
      <c r="A13" s="87">
        <v>9</v>
      </c>
      <c r="B13" s="88" t="str">
        <f>IF(MAESTRO!B13="","",MAESTRO!B13)</f>
        <v/>
      </c>
      <c r="C13" s="89" t="str">
        <f>IF(MAESTRO!F13="","",IFERROR('Planilla (Ingles) '!F24,""))</f>
        <v/>
      </c>
      <c r="D13" s="89" t="str">
        <f>IF(MAESTRO!I13="","",IFERROR('Planilla (Español)'!F24,""))</f>
        <v/>
      </c>
      <c r="E13" s="89" t="str">
        <f>IF(MAESTRO!M13="","",IFERROR('Planilla (Matematica)'!F24,""))</f>
        <v/>
      </c>
      <c r="F13" s="89" t="str">
        <f>IF(MAESTRO!Q13="","",IFERROR('Planilla (C. Sociales)'!F24,""))</f>
        <v/>
      </c>
      <c r="G13" s="89" t="str">
        <f>IF(MAESTRO!B13="","",IFERROR('Planilla (C. Naturales)'!F24,""))</f>
        <v/>
      </c>
      <c r="H13" s="89" t="str">
        <f>IF(MAESTRO!F13="","",IFERROR('Planilla (Religión)'!F24,""))</f>
        <v/>
      </c>
      <c r="I13" s="89" t="str">
        <f>IF(MAESTRO!B13="","",IFERROR('Planilla (E. Artisticas)'!F24,""))</f>
        <v/>
      </c>
      <c r="J13" s="89" t="str">
        <f>IF(MAESTRO!M13="","",IFERROR('Planilla (Tecnologia)'!F24,""))</f>
        <v/>
      </c>
      <c r="K13" s="89" t="str">
        <f>IF(MAESTRO!N13="","",IFERROR('Planilla (E. Fisica)'!F24,""))</f>
        <v/>
      </c>
      <c r="L13" s="89"/>
    </row>
    <row r="14" spans="1:12" ht="16.05" customHeight="1">
      <c r="A14" s="85">
        <v>10</v>
      </c>
      <c r="B14" s="86" t="str">
        <f>IF(MAESTRO!B14="","",MAESTRO!B14)</f>
        <v/>
      </c>
      <c r="C14" s="90" t="str">
        <f>IF(MAESTRO!F14="","",IFERROR('Planilla (Ingles) '!F25,""))</f>
        <v/>
      </c>
      <c r="D14" s="90" t="str">
        <f>IF(MAESTRO!I14="","",IFERROR('Planilla (Español)'!F25,""))</f>
        <v/>
      </c>
      <c r="E14" s="90" t="str">
        <f>IF(MAESTRO!M14="","",IFERROR('Planilla (Matematica)'!F25,""))</f>
        <v/>
      </c>
      <c r="F14" s="90" t="str">
        <f>IF(MAESTRO!Q14="","",IFERROR('Planilla (C. Sociales)'!F25,""))</f>
        <v/>
      </c>
      <c r="G14" s="90" t="str">
        <f>IF(MAESTRO!B14="","",IFERROR('Planilla (C. Naturales)'!F25,""))</f>
        <v/>
      </c>
      <c r="H14" s="90" t="str">
        <f>IF(MAESTRO!F14="","",IFERROR('Planilla (Religión)'!F25,""))</f>
        <v/>
      </c>
      <c r="I14" s="90" t="str">
        <f>IF(MAESTRO!B14="","",IFERROR('Planilla (E. Artisticas)'!F25,""))</f>
        <v/>
      </c>
      <c r="J14" s="90" t="str">
        <f>IF(MAESTRO!M14="","",IFERROR('Planilla (Tecnologia)'!F25,""))</f>
        <v/>
      </c>
      <c r="K14" s="90" t="str">
        <f>IF(MAESTRO!N14="","",IFERROR('Planilla (E. Fisica)'!F25,""))</f>
        <v/>
      </c>
      <c r="L14" s="90"/>
    </row>
    <row r="15" spans="1:12" ht="16.05" customHeight="1">
      <c r="A15" s="87">
        <v>11</v>
      </c>
      <c r="B15" s="88" t="str">
        <f>IF(MAESTRO!B15="","",MAESTRO!B15)</f>
        <v/>
      </c>
      <c r="C15" s="89" t="str">
        <f>IF(MAESTRO!F15="","",IFERROR('Planilla (Ingles) '!F26,""))</f>
        <v/>
      </c>
      <c r="D15" s="89" t="str">
        <f>IF(MAESTRO!I15="","",IFERROR('Planilla (Español)'!F26,""))</f>
        <v/>
      </c>
      <c r="E15" s="89" t="str">
        <f>IF(MAESTRO!M15="","",IFERROR('Planilla (Matematica)'!F26,""))</f>
        <v/>
      </c>
      <c r="F15" s="89" t="str">
        <f>IF(MAESTRO!Q15="","",IFERROR('Planilla (C. Sociales)'!F26,""))</f>
        <v/>
      </c>
      <c r="G15" s="89" t="str">
        <f>IF(MAESTRO!B15="","",IFERROR('Planilla (C. Naturales)'!F26,""))</f>
        <v/>
      </c>
      <c r="H15" s="89" t="str">
        <f>IF(MAESTRO!F15="","",IFERROR('Planilla (Religión)'!F26,""))</f>
        <v/>
      </c>
      <c r="I15" s="89" t="str">
        <f>IF(MAESTRO!B15="","",IFERROR('Planilla (E. Artisticas)'!F26,""))</f>
        <v/>
      </c>
      <c r="J15" s="89" t="str">
        <f>IF(MAESTRO!M15="","",IFERROR('Planilla (Tecnologia)'!F26,""))</f>
        <v/>
      </c>
      <c r="K15" s="89" t="str">
        <f>IF(MAESTRO!N15="","",IFERROR('Planilla (E. Fisica)'!F26,""))</f>
        <v/>
      </c>
      <c r="L15" s="89"/>
    </row>
    <row r="16" spans="1:12" ht="16.05" customHeight="1">
      <c r="A16" s="85">
        <v>12</v>
      </c>
      <c r="B16" s="86" t="str">
        <f>IF(MAESTRO!B16="","",MAESTRO!B16)</f>
        <v/>
      </c>
      <c r="C16" s="90" t="str">
        <f>IF(MAESTRO!F16="","",IFERROR('Planilla (Ingles) '!F27,""))</f>
        <v/>
      </c>
      <c r="D16" s="90" t="str">
        <f>IF(MAESTRO!I16="","",IFERROR('Planilla (Español)'!F27,""))</f>
        <v/>
      </c>
      <c r="E16" s="90" t="str">
        <f>IF(MAESTRO!M16="","",IFERROR('Planilla (Matematica)'!F27,""))</f>
        <v/>
      </c>
      <c r="F16" s="90" t="str">
        <f>IF(MAESTRO!Q16="","",IFERROR('Planilla (C. Sociales)'!F27,""))</f>
        <v/>
      </c>
      <c r="G16" s="90" t="str">
        <f>IF(MAESTRO!B16="","",IFERROR('Planilla (C. Naturales)'!F27,""))</f>
        <v/>
      </c>
      <c r="H16" s="90" t="str">
        <f>IF(MAESTRO!F16="","",IFERROR('Planilla (Religión)'!F27,""))</f>
        <v/>
      </c>
      <c r="I16" s="90" t="str">
        <f>IF(MAESTRO!B16="","",IFERROR('Planilla (E. Artisticas)'!F27,""))</f>
        <v/>
      </c>
      <c r="J16" s="90" t="str">
        <f>IF(MAESTRO!M16="","",IFERROR('Planilla (Tecnologia)'!F27,""))</f>
        <v/>
      </c>
      <c r="K16" s="90" t="str">
        <f>IF(MAESTRO!N16="","",IFERROR('Planilla (E. Fisica)'!F27,""))</f>
        <v/>
      </c>
      <c r="L16" s="90"/>
    </row>
    <row r="17" spans="1:12" ht="16.05" customHeight="1">
      <c r="A17" s="87">
        <v>13</v>
      </c>
      <c r="B17" s="88" t="str">
        <f>IF(MAESTRO!B17="","",MAESTRO!B17)</f>
        <v/>
      </c>
      <c r="C17" s="89" t="str">
        <f>IF(MAESTRO!F17="","",IFERROR('Planilla (Ingles) '!F28,""))</f>
        <v/>
      </c>
      <c r="D17" s="89" t="str">
        <f>IF(MAESTRO!I17="","",IFERROR('Planilla (Español)'!F28,""))</f>
        <v/>
      </c>
      <c r="E17" s="89" t="str">
        <f>IF(MAESTRO!M17="","",IFERROR('Planilla (Matematica)'!F28,""))</f>
        <v/>
      </c>
      <c r="F17" s="89" t="str">
        <f>IF(MAESTRO!Q17="","",IFERROR('Planilla (C. Sociales)'!F28,""))</f>
        <v/>
      </c>
      <c r="G17" s="89" t="str">
        <f>IF(MAESTRO!B17="","",IFERROR('Planilla (C. Naturales)'!F28,""))</f>
        <v/>
      </c>
      <c r="H17" s="89" t="str">
        <f>IF(MAESTRO!F17="","",IFERROR('Planilla (Religión)'!F28,""))</f>
        <v/>
      </c>
      <c r="I17" s="89" t="str">
        <f>IF(MAESTRO!B17="","",IFERROR('Planilla (E. Artisticas)'!F28,""))</f>
        <v/>
      </c>
      <c r="J17" s="89" t="str">
        <f>IF(MAESTRO!M17="","",IFERROR('Planilla (Tecnologia)'!F28,""))</f>
        <v/>
      </c>
      <c r="K17" s="89" t="str">
        <f>IF(MAESTRO!N17="","",IFERROR('Planilla (E. Fisica)'!F28,""))</f>
        <v/>
      </c>
      <c r="L17" s="89"/>
    </row>
    <row r="18" spans="1:12" ht="16.05" customHeight="1">
      <c r="A18" s="85">
        <v>14</v>
      </c>
      <c r="B18" s="86" t="str">
        <f>IF(MAESTRO!B18="","",MAESTRO!B18)</f>
        <v/>
      </c>
      <c r="C18" s="90" t="str">
        <f>IF(MAESTRO!F18="","",IFERROR('Planilla (Ingles) '!F29,""))</f>
        <v/>
      </c>
      <c r="D18" s="90" t="str">
        <f>IF(MAESTRO!I18="","",IFERROR('Planilla (Español)'!F29,""))</f>
        <v/>
      </c>
      <c r="E18" s="90" t="str">
        <f>IF(MAESTRO!M18="","",IFERROR('Planilla (Matematica)'!F29,""))</f>
        <v/>
      </c>
      <c r="F18" s="90" t="str">
        <f>IF(MAESTRO!Q18="","",IFERROR('Planilla (C. Sociales)'!F29,""))</f>
        <v/>
      </c>
      <c r="G18" s="90" t="str">
        <f>IF(MAESTRO!B18="","",IFERROR('Planilla (C. Naturales)'!F29,""))</f>
        <v/>
      </c>
      <c r="H18" s="90" t="str">
        <f>IF(MAESTRO!F18="","",IFERROR('Planilla (Religión)'!F29,""))</f>
        <v/>
      </c>
      <c r="I18" s="90" t="str">
        <f>IF(MAESTRO!B18="","",IFERROR('Planilla (E. Artisticas)'!F29,""))</f>
        <v/>
      </c>
      <c r="J18" s="90" t="str">
        <f>IF(MAESTRO!M18="","",IFERROR('Planilla (Tecnologia)'!F29,""))</f>
        <v/>
      </c>
      <c r="K18" s="90" t="str">
        <f>IF(MAESTRO!N18="","",IFERROR('Planilla (E. Fisica)'!F29,""))</f>
        <v/>
      </c>
      <c r="L18" s="90"/>
    </row>
    <row r="19" spans="1:12" ht="16.05" customHeight="1">
      <c r="A19" s="87">
        <v>15</v>
      </c>
      <c r="B19" s="88" t="str">
        <f>IF(MAESTRO!B19="","",MAESTRO!B19)</f>
        <v/>
      </c>
      <c r="C19" s="89" t="str">
        <f>IF(MAESTRO!F19="","",IFERROR('Planilla (Ingles) '!F30,""))</f>
        <v/>
      </c>
      <c r="D19" s="89" t="str">
        <f>IF(MAESTRO!I19="","",IFERROR('Planilla (Español)'!F30,""))</f>
        <v/>
      </c>
      <c r="E19" s="89" t="str">
        <f>IF(MAESTRO!M19="","",IFERROR('Planilla (Matematica)'!F30,""))</f>
        <v/>
      </c>
      <c r="F19" s="89" t="str">
        <f>IF(MAESTRO!Q19="","",IFERROR('Planilla (C. Sociales)'!F30,""))</f>
        <v/>
      </c>
      <c r="G19" s="89" t="str">
        <f>IF(MAESTRO!B19="","",IFERROR('Planilla (C. Naturales)'!F30,""))</f>
        <v/>
      </c>
      <c r="H19" s="89" t="str">
        <f>IF(MAESTRO!F19="","",IFERROR('Planilla (Religión)'!F30,""))</f>
        <v/>
      </c>
      <c r="I19" s="89" t="str">
        <f>IF(MAESTRO!B19="","",IFERROR('Planilla (E. Artisticas)'!F30,""))</f>
        <v/>
      </c>
      <c r="J19" s="89" t="str">
        <f>IF(MAESTRO!M19="","",IFERROR('Planilla (Tecnologia)'!F30,""))</f>
        <v/>
      </c>
      <c r="K19" s="89" t="str">
        <f>IF(MAESTRO!N19="","",IFERROR('Planilla (E. Fisica)'!F30,""))</f>
        <v/>
      </c>
      <c r="L19" s="89"/>
    </row>
    <row r="20" spans="1:12" ht="16.05" customHeight="1">
      <c r="A20" s="85">
        <v>16</v>
      </c>
      <c r="B20" s="86" t="str">
        <f>IF(MAESTRO!B20="","",MAESTRO!B20)</f>
        <v/>
      </c>
      <c r="C20" s="90" t="str">
        <f>IF(MAESTRO!F20="","",IFERROR('Planilla (Ingles) '!F31,""))</f>
        <v/>
      </c>
      <c r="D20" s="90" t="str">
        <f>IF(MAESTRO!I20="","",IFERROR('Planilla (Español)'!F31,""))</f>
        <v/>
      </c>
      <c r="E20" s="90" t="str">
        <f>IF(MAESTRO!M20="","",IFERROR('Planilla (Matematica)'!F31,""))</f>
        <v/>
      </c>
      <c r="F20" s="90" t="str">
        <f>IF(MAESTRO!Q20="","",IFERROR('Planilla (C. Sociales)'!F31,""))</f>
        <v/>
      </c>
      <c r="G20" s="90" t="str">
        <f>IF(MAESTRO!B20="","",IFERROR('Planilla (C. Naturales)'!F31,""))</f>
        <v/>
      </c>
      <c r="H20" s="90" t="str">
        <f>IF(MAESTRO!F20="","",IFERROR('Planilla (Religión)'!F31,""))</f>
        <v/>
      </c>
      <c r="I20" s="90" t="str">
        <f>IF(MAESTRO!B20="","",IFERROR('Planilla (E. Artisticas)'!F31,""))</f>
        <v/>
      </c>
      <c r="J20" s="90" t="str">
        <f>IF(MAESTRO!M20="","",IFERROR('Planilla (Tecnologia)'!F31,""))</f>
        <v/>
      </c>
      <c r="K20" s="90" t="str">
        <f>IF(MAESTRO!N20="","",IFERROR('Planilla (E. Fisica)'!F31,""))</f>
        <v/>
      </c>
      <c r="L20" s="90"/>
    </row>
    <row r="21" spans="1:12" ht="16.05" customHeight="1">
      <c r="A21" s="87">
        <v>17</v>
      </c>
      <c r="B21" s="88" t="str">
        <f>IF(MAESTRO!B21="","",MAESTRO!B21)</f>
        <v/>
      </c>
      <c r="C21" s="89" t="str">
        <f>IF(MAESTRO!F21="","",IFERROR('Planilla (Ingles) '!F32,""))</f>
        <v/>
      </c>
      <c r="D21" s="89" t="str">
        <f>IF(MAESTRO!I21="","",IFERROR('Planilla (Español)'!F32,""))</f>
        <v/>
      </c>
      <c r="E21" s="89" t="str">
        <f>IF(MAESTRO!M21="","",IFERROR('Planilla (Matematica)'!F32,""))</f>
        <v/>
      </c>
      <c r="F21" s="89" t="str">
        <f>IF(MAESTRO!Q21="","",IFERROR('Planilla (C. Sociales)'!F32,""))</f>
        <v/>
      </c>
      <c r="G21" s="89" t="str">
        <f>IF(MAESTRO!B21="","",IFERROR('Planilla (C. Naturales)'!F32,""))</f>
        <v/>
      </c>
      <c r="H21" s="89" t="str">
        <f>IF(MAESTRO!F21="","",IFERROR('Planilla (Religión)'!F32,""))</f>
        <v/>
      </c>
      <c r="I21" s="89" t="str">
        <f>IF(MAESTRO!B21="","",IFERROR('Planilla (E. Artisticas)'!F32,""))</f>
        <v/>
      </c>
      <c r="J21" s="89" t="str">
        <f>IF(MAESTRO!M21="","",IFERROR('Planilla (Tecnologia)'!F32,""))</f>
        <v/>
      </c>
      <c r="K21" s="89" t="str">
        <f>IF(MAESTRO!N21="","",IFERROR('Planilla (E. Fisica)'!F32,""))</f>
        <v/>
      </c>
      <c r="L21" s="89"/>
    </row>
    <row r="22" spans="1:12" ht="16.05" customHeight="1">
      <c r="A22" s="85">
        <v>18</v>
      </c>
      <c r="B22" s="86" t="str">
        <f>IF(MAESTRO!B22="","",MAESTRO!B22)</f>
        <v/>
      </c>
      <c r="C22" s="90" t="str">
        <f>IF(MAESTRO!F22="","",IFERROR('Planilla (Ingles) '!F33,""))</f>
        <v/>
      </c>
      <c r="D22" s="90" t="str">
        <f>IF(MAESTRO!I22="","",IFERROR('Planilla (Español)'!F33,""))</f>
        <v/>
      </c>
      <c r="E22" s="90" t="str">
        <f>IF(MAESTRO!M22="","",IFERROR('Planilla (Matematica)'!F33,""))</f>
        <v/>
      </c>
      <c r="F22" s="90" t="str">
        <f>IF(MAESTRO!Q22="","",IFERROR('Planilla (C. Sociales)'!F33,""))</f>
        <v/>
      </c>
      <c r="G22" s="90" t="str">
        <f>IF(MAESTRO!B22="","",IFERROR('Planilla (C. Naturales)'!F33,""))</f>
        <v/>
      </c>
      <c r="H22" s="90" t="str">
        <f>IF(MAESTRO!F22="","",IFERROR('Planilla (Religión)'!F33,""))</f>
        <v/>
      </c>
      <c r="I22" s="90" t="str">
        <f>IF(MAESTRO!B22="","",IFERROR('Planilla (E. Artisticas)'!F33,""))</f>
        <v/>
      </c>
      <c r="J22" s="90" t="str">
        <f>IF(MAESTRO!M22="","",IFERROR('Planilla (Tecnologia)'!F33,""))</f>
        <v/>
      </c>
      <c r="K22" s="90" t="str">
        <f>IF(MAESTRO!N22="","",IFERROR('Planilla (E. Fisica)'!F33,""))</f>
        <v/>
      </c>
      <c r="L22" s="90"/>
    </row>
    <row r="23" spans="1:12" ht="16.05" customHeight="1">
      <c r="A23" s="87">
        <v>19</v>
      </c>
      <c r="B23" s="88" t="str">
        <f>IF(MAESTRO!B23="","",MAESTRO!B23)</f>
        <v/>
      </c>
      <c r="C23" s="89" t="str">
        <f>IF(MAESTRO!F23="","",IFERROR('Planilla (Ingles) '!F34,""))</f>
        <v/>
      </c>
      <c r="D23" s="89" t="str">
        <f>IF(MAESTRO!I23="","",IFERROR('Planilla (Español)'!F34,""))</f>
        <v/>
      </c>
      <c r="E23" s="89" t="str">
        <f>IF(MAESTRO!M23="","",IFERROR('Planilla (Matematica)'!F34,""))</f>
        <v/>
      </c>
      <c r="F23" s="89" t="str">
        <f>IF(MAESTRO!Q23="","",IFERROR('Planilla (C. Sociales)'!F34,""))</f>
        <v/>
      </c>
      <c r="G23" s="89" t="str">
        <f>IF(MAESTRO!B23="","",IFERROR('Planilla (C. Naturales)'!F34,""))</f>
        <v/>
      </c>
      <c r="H23" s="89" t="str">
        <f>IF(MAESTRO!F23="","",IFERROR('Planilla (Religión)'!F34,""))</f>
        <v/>
      </c>
      <c r="I23" s="89" t="str">
        <f>IF(MAESTRO!B23="","",IFERROR('Planilla (E. Artisticas)'!F34,""))</f>
        <v/>
      </c>
      <c r="J23" s="89" t="str">
        <f>IF(MAESTRO!M23="","",IFERROR('Planilla (Tecnologia)'!F34,""))</f>
        <v/>
      </c>
      <c r="K23" s="89" t="str">
        <f>IF(MAESTRO!N23="","",IFERROR('Planilla (E. Fisica)'!F34,""))</f>
        <v/>
      </c>
      <c r="L23" s="89"/>
    </row>
    <row r="24" spans="1:12" ht="16.05" customHeight="1">
      <c r="A24" s="85">
        <v>20</v>
      </c>
      <c r="B24" s="86" t="str">
        <f>IF(MAESTRO!B24="","",MAESTRO!B24)</f>
        <v/>
      </c>
      <c r="C24" s="90" t="str">
        <f>IF(MAESTRO!F24="","",IFERROR('Planilla (Ingles) '!F35,""))</f>
        <v/>
      </c>
      <c r="D24" s="90" t="str">
        <f>IF(MAESTRO!I24="","",IFERROR('Planilla (Español)'!F35,""))</f>
        <v/>
      </c>
      <c r="E24" s="90" t="str">
        <f>IF(MAESTRO!M24="","",IFERROR('Planilla (Matematica)'!F35,""))</f>
        <v/>
      </c>
      <c r="F24" s="90" t="str">
        <f>IF(MAESTRO!Q24="","",IFERROR('Planilla (C. Sociales)'!F35,""))</f>
        <v/>
      </c>
      <c r="G24" s="90" t="str">
        <f>IF(MAESTRO!B24="","",IFERROR('Planilla (C. Naturales)'!F35,""))</f>
        <v/>
      </c>
      <c r="H24" s="90" t="str">
        <f>IF(MAESTRO!F24="","",IFERROR('Planilla (Religión)'!F35,""))</f>
        <v/>
      </c>
      <c r="I24" s="90" t="str">
        <f>IF(MAESTRO!B24="","",IFERROR('Planilla (E. Artisticas)'!F35,""))</f>
        <v/>
      </c>
      <c r="J24" s="90" t="str">
        <f>IF(MAESTRO!M24="","",IFERROR('Planilla (Tecnologia)'!F35,""))</f>
        <v/>
      </c>
      <c r="K24" s="90" t="str">
        <f>IF(MAESTRO!N24="","",IFERROR('Planilla (E. Fisica)'!F35,""))</f>
        <v/>
      </c>
      <c r="L24" s="90"/>
    </row>
    <row r="25" spans="1:12" ht="16.05" customHeight="1">
      <c r="A25" s="87">
        <v>21</v>
      </c>
      <c r="B25" s="88" t="str">
        <f>IF(MAESTRO!B25="","",MAESTRO!B25)</f>
        <v/>
      </c>
      <c r="C25" s="89" t="str">
        <f>IF(MAESTRO!F25="","",IFERROR('Planilla (Ingles) '!F36,""))</f>
        <v/>
      </c>
      <c r="D25" s="89" t="str">
        <f>IF(MAESTRO!I25="","",IFERROR('Planilla (Español)'!F36,""))</f>
        <v/>
      </c>
      <c r="E25" s="89" t="str">
        <f>IF(MAESTRO!M25="","",IFERROR('Planilla (Matematica)'!F36,""))</f>
        <v/>
      </c>
      <c r="F25" s="89" t="str">
        <f>IF(MAESTRO!Q25="","",IFERROR('Planilla (C. Sociales)'!F36,""))</f>
        <v/>
      </c>
      <c r="G25" s="89" t="str">
        <f>IF(MAESTRO!B25="","",IFERROR('Planilla (C. Naturales)'!F36,""))</f>
        <v/>
      </c>
      <c r="H25" s="89" t="str">
        <f>IF(MAESTRO!F25="","",IFERROR('Planilla (Religión)'!F36,""))</f>
        <v/>
      </c>
      <c r="I25" s="89" t="str">
        <f>IF(MAESTRO!B25="","",IFERROR('Planilla (E. Artisticas)'!F36,""))</f>
        <v/>
      </c>
      <c r="J25" s="89" t="str">
        <f>IF(MAESTRO!M25="","",IFERROR('Planilla (Tecnologia)'!F36,""))</f>
        <v/>
      </c>
      <c r="K25" s="89" t="str">
        <f>IF(MAESTRO!N25="","",IFERROR('Planilla (E. Fisica)'!F36,""))</f>
        <v/>
      </c>
      <c r="L25" s="89"/>
    </row>
    <row r="26" spans="1:12" ht="16.05" customHeight="1">
      <c r="A26" s="85">
        <v>22</v>
      </c>
      <c r="B26" s="86" t="str">
        <f>IF(MAESTRO!B26="","",MAESTRO!B26)</f>
        <v/>
      </c>
      <c r="C26" s="90" t="str">
        <f>IF(MAESTRO!F26="","",IFERROR('Planilla (Ingles) '!F37,""))</f>
        <v/>
      </c>
      <c r="D26" s="90" t="str">
        <f>IF(MAESTRO!I26="","",IFERROR('Planilla (Español)'!F37,""))</f>
        <v/>
      </c>
      <c r="E26" s="90" t="str">
        <f>IF(MAESTRO!M26="","",IFERROR('Planilla (Matematica)'!F37,""))</f>
        <v/>
      </c>
      <c r="F26" s="90" t="str">
        <f>IF(MAESTRO!Q26="","",IFERROR('Planilla (C. Sociales)'!F37,""))</f>
        <v/>
      </c>
      <c r="G26" s="90" t="str">
        <f>IF(MAESTRO!B26="","",IFERROR('Planilla (C. Naturales)'!F37,""))</f>
        <v/>
      </c>
      <c r="H26" s="90" t="str">
        <f>IF(MAESTRO!F26="","",IFERROR('Planilla (Religión)'!F37,""))</f>
        <v/>
      </c>
      <c r="I26" s="90" t="str">
        <f>IF(MAESTRO!B26="","",IFERROR('Planilla (E. Artisticas)'!F37,""))</f>
        <v/>
      </c>
      <c r="J26" s="90" t="str">
        <f>IF(MAESTRO!M26="","",IFERROR('Planilla (Tecnologia)'!F37,""))</f>
        <v/>
      </c>
      <c r="K26" s="90" t="str">
        <f>IF(MAESTRO!N26="","",IFERROR('Planilla (E. Fisica)'!F37,""))</f>
        <v/>
      </c>
      <c r="L26" s="90"/>
    </row>
    <row r="27" spans="1:12" ht="16.05" customHeight="1">
      <c r="A27" s="87">
        <v>23</v>
      </c>
      <c r="B27" s="88" t="str">
        <f>IF(MAESTRO!B27="","",MAESTRO!B27)</f>
        <v/>
      </c>
      <c r="C27" s="89" t="str">
        <f>IF(MAESTRO!F27="","",IFERROR('Planilla (Ingles) '!F38,""))</f>
        <v/>
      </c>
      <c r="D27" s="89" t="str">
        <f>IF(MAESTRO!I27="","",IFERROR('Planilla (Español)'!F38,""))</f>
        <v/>
      </c>
      <c r="E27" s="89" t="str">
        <f>IF(MAESTRO!M27="","",IFERROR('Planilla (Matematica)'!F38,""))</f>
        <v/>
      </c>
      <c r="F27" s="89" t="str">
        <f>IF(MAESTRO!Q27="","",IFERROR('Planilla (C. Sociales)'!F38,""))</f>
        <v/>
      </c>
      <c r="G27" s="89" t="str">
        <f>IF(MAESTRO!B27="","",IFERROR('Planilla (C. Naturales)'!F38,""))</f>
        <v/>
      </c>
      <c r="H27" s="89" t="str">
        <f>IF(MAESTRO!F27="","",IFERROR('Planilla (Religión)'!F38,""))</f>
        <v/>
      </c>
      <c r="I27" s="89" t="str">
        <f>IF(MAESTRO!B27="","",IFERROR('Planilla (E. Artisticas)'!F38,""))</f>
        <v/>
      </c>
      <c r="J27" s="89" t="str">
        <f>IF(MAESTRO!M27="","",IFERROR('Planilla (Tecnologia)'!F38,""))</f>
        <v/>
      </c>
      <c r="K27" s="89" t="str">
        <f>IF(MAESTRO!N27="","",IFERROR('Planilla (E. Fisica)'!F38,""))</f>
        <v/>
      </c>
      <c r="L27" s="89"/>
    </row>
    <row r="28" spans="1:12" ht="16.05" customHeight="1">
      <c r="A28" s="85">
        <v>24</v>
      </c>
      <c r="B28" s="86" t="str">
        <f>IF(MAESTRO!B28="","",MAESTRO!B28)</f>
        <v/>
      </c>
      <c r="C28" s="90" t="str">
        <f>IF(MAESTRO!F28="","",IFERROR('Planilla (Ingles) '!F39,""))</f>
        <v/>
      </c>
      <c r="D28" s="90" t="str">
        <f>IF(MAESTRO!I28="","",IFERROR('Planilla (Español)'!F39,""))</f>
        <v/>
      </c>
      <c r="E28" s="90" t="str">
        <f>IF(MAESTRO!M28="","",IFERROR('Planilla (Matematica)'!F39,""))</f>
        <v/>
      </c>
      <c r="F28" s="90" t="str">
        <f>IF(MAESTRO!Q28="","",IFERROR('Planilla (C. Sociales)'!F39,""))</f>
        <v/>
      </c>
      <c r="G28" s="90" t="str">
        <f>IF(MAESTRO!B28="","",IFERROR('Planilla (C. Naturales)'!F39,""))</f>
        <v/>
      </c>
      <c r="H28" s="90" t="str">
        <f>IF(MAESTRO!F28="","",IFERROR('Planilla (Religión)'!F39,""))</f>
        <v/>
      </c>
      <c r="I28" s="90" t="str">
        <f>IF(MAESTRO!B28="","",IFERROR('Planilla (E. Artisticas)'!F39,""))</f>
        <v/>
      </c>
      <c r="J28" s="90" t="str">
        <f>IF(MAESTRO!M28="","",IFERROR('Planilla (Tecnologia)'!F39,""))</f>
        <v/>
      </c>
      <c r="K28" s="90" t="str">
        <f>IF(MAESTRO!N28="","",IFERROR('Planilla (E. Fisica)'!F39,""))</f>
        <v/>
      </c>
      <c r="L28" s="90"/>
    </row>
    <row r="29" spans="1:12" ht="16.05" customHeight="1">
      <c r="A29" s="87">
        <v>25</v>
      </c>
      <c r="B29" s="88" t="str">
        <f>IF(MAESTRO!B29="","",MAESTRO!B29)</f>
        <v/>
      </c>
      <c r="C29" s="89" t="str">
        <f>IF(MAESTRO!F29="","",IFERROR('Planilla (Ingles) '!F40,""))</f>
        <v/>
      </c>
      <c r="D29" s="89" t="str">
        <f>IF(MAESTRO!I29="","",IFERROR('Planilla (Español)'!F40,""))</f>
        <v/>
      </c>
      <c r="E29" s="89" t="str">
        <f>IF(MAESTRO!M29="","",IFERROR('Planilla (Matematica)'!F40,""))</f>
        <v/>
      </c>
      <c r="F29" s="89" t="str">
        <f>IF(MAESTRO!Q29="","",IFERROR('Planilla (C. Sociales)'!F40,""))</f>
        <v/>
      </c>
      <c r="G29" s="89" t="str">
        <f>IF(MAESTRO!B29="","",IFERROR('Planilla (C. Naturales)'!F40,""))</f>
        <v/>
      </c>
      <c r="H29" s="89" t="str">
        <f>IF(MAESTRO!F29="","",IFERROR('Planilla (Religión)'!F40,""))</f>
        <v/>
      </c>
      <c r="I29" s="89" t="str">
        <f>IF(MAESTRO!B29="","",IFERROR('Planilla (E. Artisticas)'!F40,""))</f>
        <v/>
      </c>
      <c r="J29" s="89" t="str">
        <f>IF(MAESTRO!M29="","",IFERROR('Planilla (Tecnologia)'!F40,""))</f>
        <v/>
      </c>
      <c r="K29" s="89" t="str">
        <f>IF(MAESTRO!N29="","",IFERROR('Planilla (E. Fisica)'!F40,""))</f>
        <v/>
      </c>
      <c r="L29" s="89"/>
    </row>
    <row r="30" spans="1:12" ht="16.05" customHeight="1">
      <c r="A30" s="85">
        <v>26</v>
      </c>
      <c r="B30" s="86" t="str">
        <f>IF(MAESTRO!B30="","",MAESTRO!B30)</f>
        <v/>
      </c>
      <c r="C30" s="90" t="str">
        <f>IF(MAESTRO!F30="","",IFERROR('Planilla (Ingles) '!F41,""))</f>
        <v/>
      </c>
      <c r="D30" s="90" t="str">
        <f>IF(MAESTRO!I30="","",IFERROR('Planilla (Español)'!F41,""))</f>
        <v/>
      </c>
      <c r="E30" s="90" t="str">
        <f>IF(MAESTRO!M30="","",IFERROR('Planilla (Matematica)'!F41,""))</f>
        <v/>
      </c>
      <c r="F30" s="90" t="str">
        <f>IF(MAESTRO!Q30="","",IFERROR('Planilla (C. Sociales)'!F41,""))</f>
        <v/>
      </c>
      <c r="G30" s="90" t="str">
        <f>IF(MAESTRO!B30="","",IFERROR('Planilla (C. Naturales)'!F41,""))</f>
        <v/>
      </c>
      <c r="H30" s="90" t="str">
        <f>IF(MAESTRO!F30="","",IFERROR('Planilla (Religión)'!F41,""))</f>
        <v/>
      </c>
      <c r="I30" s="90" t="str">
        <f>IF(MAESTRO!B30="","",IFERROR('Planilla (E. Artisticas)'!F41,""))</f>
        <v/>
      </c>
      <c r="J30" s="90" t="str">
        <f>IF(MAESTRO!M30="","",IFERROR('Planilla (Tecnologia)'!F41,""))</f>
        <v/>
      </c>
      <c r="K30" s="90" t="str">
        <f>IF(MAESTRO!N30="","",IFERROR('Planilla (E. Fisica)'!F41,""))</f>
        <v/>
      </c>
      <c r="L30" s="90"/>
    </row>
    <row r="31" spans="1:12" ht="16.05" customHeight="1">
      <c r="A31" s="87">
        <v>27</v>
      </c>
      <c r="B31" s="88" t="str">
        <f>IF(MAESTRO!B31="","",MAESTRO!B31)</f>
        <v/>
      </c>
      <c r="C31" s="89" t="str">
        <f>IF(MAESTRO!F31="","",IFERROR('Planilla (Ingles) '!F42,""))</f>
        <v/>
      </c>
      <c r="D31" s="89" t="str">
        <f>IF(MAESTRO!I31="","",IFERROR('Planilla (Español)'!F42,""))</f>
        <v/>
      </c>
      <c r="E31" s="89" t="str">
        <f>IF(MAESTRO!M31="","",IFERROR('Planilla (Matematica)'!F42,""))</f>
        <v/>
      </c>
      <c r="F31" s="89" t="str">
        <f>IF(MAESTRO!Q31="","",IFERROR('Planilla (C. Sociales)'!F42,""))</f>
        <v/>
      </c>
      <c r="G31" s="89" t="str">
        <f>IF(MAESTRO!B31="","",IFERROR('Planilla (C. Naturales)'!F42,""))</f>
        <v/>
      </c>
      <c r="H31" s="89" t="str">
        <f>IF(MAESTRO!F31="","",IFERROR('Planilla (Religión)'!F42,""))</f>
        <v/>
      </c>
      <c r="I31" s="89" t="str">
        <f>IF(MAESTRO!B31="","",IFERROR('Planilla (E. Artisticas)'!F42,""))</f>
        <v/>
      </c>
      <c r="J31" s="89" t="str">
        <f>IF(MAESTRO!M31="","",IFERROR('Planilla (Tecnologia)'!F42,""))</f>
        <v/>
      </c>
      <c r="K31" s="89" t="str">
        <f>IF(MAESTRO!N31="","",IFERROR('Planilla (E. Fisica)'!F42,""))</f>
        <v/>
      </c>
      <c r="L31" s="89"/>
    </row>
    <row r="32" spans="1:12" ht="16.05" customHeight="1">
      <c r="A32" s="85">
        <v>28</v>
      </c>
      <c r="B32" s="86" t="str">
        <f>IF(MAESTRO!B32="","",MAESTRO!B32)</f>
        <v/>
      </c>
      <c r="C32" s="90" t="str">
        <f>IF(MAESTRO!F32="","",IFERROR('Planilla (Ingles) '!F43,""))</f>
        <v/>
      </c>
      <c r="D32" s="90" t="str">
        <f>IF(MAESTRO!I32="","",IFERROR('Planilla (Español)'!F43,""))</f>
        <v/>
      </c>
      <c r="E32" s="90" t="str">
        <f>IF(MAESTRO!M32="","",IFERROR('Planilla (Matematica)'!F43,""))</f>
        <v/>
      </c>
      <c r="F32" s="90" t="str">
        <f>IF(MAESTRO!Q32="","",IFERROR('Planilla (C. Sociales)'!F43,""))</f>
        <v/>
      </c>
      <c r="G32" s="90" t="str">
        <f>IF(MAESTRO!B32="","",IFERROR('Planilla (C. Naturales)'!F43,""))</f>
        <v/>
      </c>
      <c r="H32" s="90" t="str">
        <f>IF(MAESTRO!F32="","",IFERROR('Planilla (Religión)'!F43,""))</f>
        <v/>
      </c>
      <c r="I32" s="90" t="str">
        <f>IF(MAESTRO!B32="","",IFERROR('Planilla (E. Artisticas)'!F43,""))</f>
        <v/>
      </c>
      <c r="J32" s="90" t="str">
        <f>IF(MAESTRO!M32="","",IFERROR('Planilla (Tecnologia)'!F43,""))</f>
        <v/>
      </c>
      <c r="K32" s="90" t="str">
        <f>IF(MAESTRO!N32="","",IFERROR('Planilla (E. Fisica)'!F43,""))</f>
        <v/>
      </c>
      <c r="L32" s="90"/>
    </row>
    <row r="33" spans="1:12" ht="16.05" customHeight="1">
      <c r="A33" s="87">
        <v>29</v>
      </c>
      <c r="B33" s="88" t="str">
        <f>IF(MAESTRO!B33="","",MAESTRO!B33)</f>
        <v/>
      </c>
      <c r="C33" s="89" t="str">
        <f>IF(MAESTRO!F33="","",IFERROR('Planilla (Ingles) '!F44,""))</f>
        <v/>
      </c>
      <c r="D33" s="89" t="str">
        <f>IF(MAESTRO!I33="","",IFERROR('Planilla (Español)'!F44,""))</f>
        <v/>
      </c>
      <c r="E33" s="89" t="str">
        <f>IF(MAESTRO!M33="","",IFERROR('Planilla (Matematica)'!F44,""))</f>
        <v/>
      </c>
      <c r="F33" s="89" t="str">
        <f>IF(MAESTRO!Q33="","",IFERROR('Planilla (C. Sociales)'!F44,""))</f>
        <v/>
      </c>
      <c r="G33" s="89" t="str">
        <f>IF(MAESTRO!B33="","",IFERROR('Planilla (C. Naturales)'!F44,""))</f>
        <v/>
      </c>
      <c r="H33" s="89" t="str">
        <f>IF(MAESTRO!F33="","",IFERROR('Planilla (Religión)'!F44,""))</f>
        <v/>
      </c>
      <c r="I33" s="89" t="str">
        <f>IF(MAESTRO!B33="","",IFERROR('Planilla (E. Artisticas)'!F44,""))</f>
        <v/>
      </c>
      <c r="J33" s="89" t="str">
        <f>IF(MAESTRO!M33="","",IFERROR('Planilla (Tecnologia)'!F44,""))</f>
        <v/>
      </c>
      <c r="K33" s="89" t="str">
        <f>IF(MAESTRO!N33="","",IFERROR('Planilla (E. Fisica)'!F44,""))</f>
        <v/>
      </c>
      <c r="L33" s="89"/>
    </row>
    <row r="34" spans="1:12" ht="16.05" customHeight="1">
      <c r="A34" s="85">
        <v>30</v>
      </c>
      <c r="B34" s="86" t="str">
        <f>IF(MAESTRO!B34="","",MAESTRO!B34)</f>
        <v/>
      </c>
      <c r="C34" s="90" t="str">
        <f>IF(MAESTRO!F34="","",IFERROR('Planilla (Ingles) '!F45,""))</f>
        <v/>
      </c>
      <c r="D34" s="90" t="str">
        <f>IF(MAESTRO!I34="","",IFERROR('Planilla (Español)'!F45,""))</f>
        <v/>
      </c>
      <c r="E34" s="90" t="str">
        <f>IF(MAESTRO!M34="","",IFERROR('Planilla (Matematica)'!F45,""))</f>
        <v/>
      </c>
      <c r="F34" s="90" t="str">
        <f>IF(MAESTRO!Q34="","",IFERROR('Planilla (C. Sociales)'!F45,""))</f>
        <v/>
      </c>
      <c r="G34" s="90" t="str">
        <f>IF(MAESTRO!B34="","",IFERROR('Planilla (C. Naturales)'!F45,""))</f>
        <v/>
      </c>
      <c r="H34" s="90" t="str">
        <f>IF(MAESTRO!F34="","",IFERROR('Planilla (Religión)'!F45,""))</f>
        <v/>
      </c>
      <c r="I34" s="90" t="str">
        <f>IF(MAESTRO!B34="","",IFERROR('Planilla (E. Artisticas)'!F45,""))</f>
        <v/>
      </c>
      <c r="J34" s="90" t="str">
        <f>IF(MAESTRO!M34="","",IFERROR('Planilla (Tecnologia)'!F45,""))</f>
        <v/>
      </c>
      <c r="K34" s="90" t="str">
        <f>IF(MAESTRO!N34="","",IFERROR('Planilla (E. Fisica)'!F45,""))</f>
        <v/>
      </c>
      <c r="L34" s="90"/>
    </row>
    <row r="35" spans="1:12" ht="16.05" customHeight="1">
      <c r="A35" s="87">
        <v>31</v>
      </c>
      <c r="B35" s="88" t="str">
        <f>IF(MAESTRO!B35="","",MAESTRO!B35)</f>
        <v/>
      </c>
      <c r="C35" s="89" t="str">
        <f>IF(MAESTRO!F35="","",IFERROR('Planilla (Ingles) '!F46,""))</f>
        <v/>
      </c>
      <c r="D35" s="89" t="str">
        <f>IF(MAESTRO!I35="","",IFERROR('Planilla (Español)'!F46,""))</f>
        <v/>
      </c>
      <c r="E35" s="89" t="str">
        <f>IF(MAESTRO!M35="","",IFERROR('Planilla (Matematica)'!F46,""))</f>
        <v/>
      </c>
      <c r="F35" s="89" t="str">
        <f>IF(MAESTRO!Q35="","",IFERROR('Planilla (C. Sociales)'!F46,""))</f>
        <v/>
      </c>
      <c r="G35" s="89" t="str">
        <f>IF(MAESTRO!B35="","",IFERROR('Planilla (C. Naturales)'!F46,""))</f>
        <v/>
      </c>
      <c r="H35" s="89" t="str">
        <f>IF(MAESTRO!F35="","",IFERROR('Planilla (Religión)'!F46,""))</f>
        <v/>
      </c>
      <c r="I35" s="89" t="str">
        <f>IF(MAESTRO!B35="","",IFERROR('Planilla (E. Artisticas)'!F46,""))</f>
        <v/>
      </c>
      <c r="J35" s="89" t="str">
        <f>IF(MAESTRO!M35="","",IFERROR('Planilla (Tecnologia)'!F46,""))</f>
        <v/>
      </c>
      <c r="K35" s="89" t="str">
        <f>IF(MAESTRO!N35="","",IFERROR('Planilla (E. Fisica)'!F46,""))</f>
        <v/>
      </c>
      <c r="L35" s="89"/>
    </row>
    <row r="36" spans="1:12" ht="16.05" customHeight="1">
      <c r="A36" s="85">
        <v>32</v>
      </c>
      <c r="B36" s="86" t="str">
        <f>IF(MAESTRO!B36="","",MAESTRO!B36)</f>
        <v/>
      </c>
      <c r="C36" s="90" t="str">
        <f>IF(MAESTRO!F36="","",IFERROR('Planilla (Ingles) '!F47,""))</f>
        <v/>
      </c>
      <c r="D36" s="90" t="str">
        <f>IF(MAESTRO!I36="","",IFERROR('Planilla (Español)'!F47,""))</f>
        <v/>
      </c>
      <c r="E36" s="90" t="str">
        <f>IF(MAESTRO!M36="","",IFERROR('Planilla (Matematica)'!F47,""))</f>
        <v/>
      </c>
      <c r="F36" s="90" t="str">
        <f>IF(MAESTRO!Q36="","",IFERROR('Planilla (C. Sociales)'!F47,""))</f>
        <v/>
      </c>
      <c r="G36" s="90" t="str">
        <f>IF(MAESTRO!B36="","",IFERROR('Planilla (C. Naturales)'!F47,""))</f>
        <v/>
      </c>
      <c r="H36" s="90" t="str">
        <f>IF(MAESTRO!F36="","",IFERROR('Planilla (Religión)'!F47,""))</f>
        <v/>
      </c>
      <c r="I36" s="90" t="str">
        <f>IF(MAESTRO!B36="","",IFERROR('Planilla (E. Artisticas)'!F47,""))</f>
        <v/>
      </c>
      <c r="J36" s="90" t="str">
        <f>IF(MAESTRO!M36="","",IFERROR('Planilla (Tecnologia)'!F47,""))</f>
        <v/>
      </c>
      <c r="K36" s="90" t="str">
        <f>IF(MAESTRO!N36="","",IFERROR('Planilla (E. Fisica)'!F47,""))</f>
        <v/>
      </c>
      <c r="L36" s="90"/>
    </row>
    <row r="37" spans="1:12" ht="16.05" customHeight="1">
      <c r="A37" s="87">
        <v>33</v>
      </c>
      <c r="B37" s="88" t="str">
        <f>IF(MAESTRO!B37="","",MAESTRO!B37)</f>
        <v/>
      </c>
      <c r="C37" s="89" t="str">
        <f>IF(MAESTRO!F37="","",IFERROR('Planilla (Ingles) '!F48,""))</f>
        <v/>
      </c>
      <c r="D37" s="89" t="str">
        <f>IF(MAESTRO!I37="","",IFERROR('Planilla (Español)'!F48,""))</f>
        <v/>
      </c>
      <c r="E37" s="89" t="str">
        <f>IF(MAESTRO!M37="","",IFERROR('Planilla (Matematica)'!F48,""))</f>
        <v/>
      </c>
      <c r="F37" s="89" t="str">
        <f>IF(MAESTRO!Q37="","",IFERROR('Planilla (C. Sociales)'!F48,""))</f>
        <v/>
      </c>
      <c r="G37" s="89" t="str">
        <f>IF(MAESTRO!B37="","",IFERROR('Planilla (C. Naturales)'!F48,""))</f>
        <v/>
      </c>
      <c r="H37" s="89" t="str">
        <f>IF(MAESTRO!F37="","",IFERROR('Planilla (Religión)'!F48,""))</f>
        <v/>
      </c>
      <c r="I37" s="89" t="str">
        <f>IF(MAESTRO!B37="","",IFERROR('Planilla (E. Artisticas)'!F48,""))</f>
        <v/>
      </c>
      <c r="J37" s="89" t="str">
        <f>IF(MAESTRO!M37="","",IFERROR('Planilla (Tecnologia)'!F48,""))</f>
        <v/>
      </c>
      <c r="K37" s="89" t="str">
        <f>IF(MAESTRO!N37="","",IFERROR('Planilla (E. Fisica)'!F48,""))</f>
        <v/>
      </c>
      <c r="L37" s="89"/>
    </row>
    <row r="38" spans="1:12" ht="16.05" customHeight="1">
      <c r="A38" s="85">
        <v>34</v>
      </c>
      <c r="B38" s="86" t="str">
        <f>IF(MAESTRO!B38="","",MAESTRO!B38)</f>
        <v/>
      </c>
      <c r="C38" s="90" t="str">
        <f>IF(MAESTRO!F38="","",IFERROR('Planilla (Ingles) '!F49,""))</f>
        <v/>
      </c>
      <c r="D38" s="90" t="str">
        <f>IF(MAESTRO!I38="","",IFERROR('Planilla (Español)'!F49,""))</f>
        <v/>
      </c>
      <c r="E38" s="90" t="str">
        <f>IF(MAESTRO!M38="","",IFERROR('Planilla (Matematica)'!F49,""))</f>
        <v/>
      </c>
      <c r="F38" s="90" t="str">
        <f>IF(MAESTRO!Q38="","",IFERROR('Planilla (C. Sociales)'!F49,""))</f>
        <v/>
      </c>
      <c r="G38" s="90" t="str">
        <f>IF(MAESTRO!B38="","",IFERROR('Planilla (C. Naturales)'!F49,""))</f>
        <v/>
      </c>
      <c r="H38" s="90" t="str">
        <f>IF(MAESTRO!F38="","",IFERROR('Planilla (Religión)'!F49,""))</f>
        <v/>
      </c>
      <c r="I38" s="90" t="str">
        <f>IF(MAESTRO!B38="","",IFERROR('Planilla (E. Artisticas)'!F49,""))</f>
        <v/>
      </c>
      <c r="J38" s="90" t="str">
        <f>IF(MAESTRO!M38="","",IFERROR('Planilla (Tecnologia)'!F49,""))</f>
        <v/>
      </c>
      <c r="K38" s="90" t="str">
        <f>IF(MAESTRO!N38="","",IFERROR('Planilla (E. Fisica)'!F49,""))</f>
        <v/>
      </c>
      <c r="L38" s="90"/>
    </row>
    <row r="39" spans="1:12">
      <c r="A39" s="98" t="s">
        <v>116</v>
      </c>
      <c r="B39" s="99"/>
      <c r="C39" s="91" t="str">
        <f t="shared" ref="C39:J39" si="0">IFERROR(ROUND(AVERAGEIF(C5:C38,"&lt;&gt;"&amp;""),1),"")</f>
        <v/>
      </c>
      <c r="D39" s="91" t="str">
        <f t="shared" si="0"/>
        <v/>
      </c>
      <c r="E39" s="91" t="str">
        <f t="shared" si="0"/>
        <v/>
      </c>
      <c r="F39" s="91" t="str">
        <f t="shared" si="0"/>
        <v/>
      </c>
      <c r="G39" s="91" t="str">
        <f t="shared" si="0"/>
        <v/>
      </c>
      <c r="H39" s="91" t="str">
        <f t="shared" si="0"/>
        <v/>
      </c>
      <c r="I39" s="91" t="str">
        <f t="shared" si="0"/>
        <v/>
      </c>
      <c r="J39" s="91" t="str">
        <f t="shared" si="0"/>
        <v/>
      </c>
      <c r="K39" s="91"/>
      <c r="L39" s="91"/>
    </row>
    <row r="40" spans="1:12" ht="18" customHeight="1"/>
    <row r="41" spans="1:12">
      <c r="A41" s="100" t="s">
        <v>155</v>
      </c>
      <c r="B41" s="101"/>
      <c r="C41" s="101"/>
      <c r="D41" s="101"/>
      <c r="E41" s="101"/>
      <c r="F41" s="101"/>
      <c r="G41" s="101"/>
      <c r="H41" s="101"/>
      <c r="I41" s="101"/>
      <c r="J41" s="101"/>
      <c r="K41" s="101"/>
      <c r="L41" s="101"/>
    </row>
    <row r="42" spans="1:12" ht="64.2" customHeight="1">
      <c r="A42" s="104" t="s">
        <v>109</v>
      </c>
      <c r="B42" s="104" t="s">
        <v>110</v>
      </c>
      <c r="C42" s="96" t="s">
        <v>129</v>
      </c>
      <c r="D42" s="96" t="s">
        <v>143</v>
      </c>
      <c r="E42" s="96" t="s">
        <v>144</v>
      </c>
      <c r="F42" s="96" t="s">
        <v>145</v>
      </c>
      <c r="G42" s="96" t="s">
        <v>146</v>
      </c>
      <c r="H42" s="96" t="s">
        <v>151</v>
      </c>
      <c r="I42" s="96" t="s">
        <v>152</v>
      </c>
      <c r="J42" s="96" t="s">
        <v>149</v>
      </c>
      <c r="K42" s="96" t="s">
        <v>153</v>
      </c>
      <c r="L42" s="102" t="s">
        <v>114</v>
      </c>
    </row>
    <row r="43" spans="1:12">
      <c r="A43" s="105"/>
      <c r="B43" s="105"/>
      <c r="C43" s="84" t="s">
        <v>115</v>
      </c>
      <c r="D43" s="84" t="s">
        <v>115</v>
      </c>
      <c r="E43" s="84" t="s">
        <v>115</v>
      </c>
      <c r="F43" s="84" t="s">
        <v>115</v>
      </c>
      <c r="G43" s="84" t="s">
        <v>115</v>
      </c>
      <c r="H43" s="84" t="s">
        <v>115</v>
      </c>
      <c r="I43" s="84" t="s">
        <v>115</v>
      </c>
      <c r="J43" s="84" t="s">
        <v>115</v>
      </c>
      <c r="K43" s="84" t="s">
        <v>115</v>
      </c>
      <c r="L43" s="103"/>
    </row>
    <row r="44" spans="1:12">
      <c r="A44" s="87">
        <v>1</v>
      </c>
      <c r="B44" s="88" t="str">
        <f>IF(MAESTRO!B52="","",MAESTRO!B52)</f>
        <v/>
      </c>
      <c r="C44" s="89" t="str">
        <f>IF(MAESTRO!F52="","",IFERROR('Planilla (Ingles) '!G16,""))</f>
        <v/>
      </c>
      <c r="D44" s="89" t="str">
        <f>IF(MAESTRO!I52="","",IFERROR('Planilla (Español)'!G16,""))</f>
        <v/>
      </c>
      <c r="E44" s="89" t="str">
        <f>IF(MAESTRO!M52="","",IFERROR('Planilla (Matematica)'!G16,""))</f>
        <v/>
      </c>
      <c r="F44" s="89" t="str">
        <f>IF(MAESTRO!Q52="","",IFERROR('Planilla (C. Sociales)'!G16,""))</f>
        <v/>
      </c>
      <c r="G44" s="89" t="str">
        <f>IF(MAESTRO!B52="","",IFERROR('Planilla (C. Naturales)'!G16,""))</f>
        <v/>
      </c>
      <c r="H44" s="89" t="str">
        <f>IF(MAESTRO!F52="","",IFERROR('Planilla (Religión)'!G16,""))</f>
        <v/>
      </c>
      <c r="I44" s="89" t="str">
        <f>IF(MAESTRO!B52="","",IFERROR('Planilla (E. Artisticas)'!G16,""))</f>
        <v/>
      </c>
      <c r="J44" s="89" t="str">
        <f>IF(MAESTRO!M52="","",IFERROR('Planilla (Tecnologia)'!G16,""))</f>
        <v/>
      </c>
      <c r="K44" s="89" t="str">
        <f>IF(MAESTRO!N52="","",IFERROR('Planilla (E. Fisica)'!G16,""))</f>
        <v/>
      </c>
      <c r="L44" s="89"/>
    </row>
    <row r="45" spans="1:12">
      <c r="A45" s="85">
        <v>2</v>
      </c>
      <c r="B45" s="86" t="str">
        <f>IF(MAESTRO!B53="","",MAESTRO!B53)</f>
        <v/>
      </c>
      <c r="C45" s="90" t="str">
        <f>IF(MAESTRO!F53="","",IFERROR('Planilla (Ingles) '!G17,""))</f>
        <v/>
      </c>
      <c r="D45" s="90" t="str">
        <f>IF(MAESTRO!I53="","",IFERROR('Planilla (Español)'!G17,""))</f>
        <v/>
      </c>
      <c r="E45" s="90" t="str">
        <f>IF(MAESTRO!M53="","",IFERROR('Planilla (Matematica)'!G17,""))</f>
        <v/>
      </c>
      <c r="F45" s="90" t="str">
        <f>IF(MAESTRO!Q53="","",IFERROR('Planilla (C. Sociales)'!G17,""))</f>
        <v/>
      </c>
      <c r="G45" s="90" t="str">
        <f>IF(MAESTRO!B53="","",IFERROR('Planilla (C. Naturales)'!G17,""))</f>
        <v/>
      </c>
      <c r="H45" s="90" t="str">
        <f>IF(MAESTRO!F53="","",IFERROR('Planilla (Religión)'!G17,""))</f>
        <v/>
      </c>
      <c r="I45" s="90" t="str">
        <f>IF(MAESTRO!B53="","",IFERROR('Planilla (E. Artisticas)'!G17,""))</f>
        <v/>
      </c>
      <c r="J45" s="90" t="str">
        <f>IF(MAESTRO!M53="","",IFERROR('Planilla (Tecnologia)'!G17,""))</f>
        <v/>
      </c>
      <c r="K45" s="90" t="str">
        <f>IF(MAESTRO!N53="","",IFERROR('Planilla (E. Fisica)'!G17,""))</f>
        <v/>
      </c>
      <c r="L45" s="90"/>
    </row>
    <row r="46" spans="1:12">
      <c r="A46" s="87">
        <v>3</v>
      </c>
      <c r="B46" s="88" t="str">
        <f>IF(MAESTRO!B54="","",MAESTRO!B54)</f>
        <v/>
      </c>
      <c r="C46" s="89" t="str">
        <f>IF(MAESTRO!F54="","",IFERROR('Planilla (Ingles) '!G18,""))</f>
        <v/>
      </c>
      <c r="D46" s="89" t="str">
        <f>IF(MAESTRO!I54="","",IFERROR('Planilla (Español)'!G18,""))</f>
        <v/>
      </c>
      <c r="E46" s="89" t="str">
        <f>IF(MAESTRO!M54="","",IFERROR('Planilla (Matematica)'!G18,""))</f>
        <v/>
      </c>
      <c r="F46" s="89" t="str">
        <f>IF(MAESTRO!Q54="","",IFERROR('Planilla (C. Sociales)'!G18,""))</f>
        <v/>
      </c>
      <c r="G46" s="89" t="str">
        <f>IF(MAESTRO!B54="","",IFERROR('Planilla (C. Naturales)'!G18,""))</f>
        <v/>
      </c>
      <c r="H46" s="89" t="str">
        <f>IF(MAESTRO!F54="","",IFERROR('Planilla (Religión)'!G18,""))</f>
        <v/>
      </c>
      <c r="I46" s="89" t="str">
        <f>IF(MAESTRO!B54="","",IFERROR('Planilla (E. Artisticas)'!G18,""))</f>
        <v/>
      </c>
      <c r="J46" s="89" t="str">
        <f>IF(MAESTRO!M54="","",IFERROR('Planilla (Tecnologia)'!G18,""))</f>
        <v/>
      </c>
      <c r="K46" s="89" t="str">
        <f>IF(MAESTRO!N54="","",IFERROR('Planilla (E. Fisica)'!G18,""))</f>
        <v/>
      </c>
      <c r="L46" s="89"/>
    </row>
    <row r="47" spans="1:12">
      <c r="A47" s="85">
        <v>4</v>
      </c>
      <c r="B47" s="86" t="str">
        <f>IF(MAESTRO!B55="","",MAESTRO!B55)</f>
        <v/>
      </c>
      <c r="C47" s="90" t="str">
        <f>IF(MAESTRO!F55="","",IFERROR('Planilla (Ingles) '!G19,""))</f>
        <v/>
      </c>
      <c r="D47" s="90" t="str">
        <f>IF(MAESTRO!I55="","",IFERROR('Planilla (Español)'!G19,""))</f>
        <v/>
      </c>
      <c r="E47" s="90" t="str">
        <f>IF(MAESTRO!M55="","",IFERROR('Planilla (Matematica)'!G19,""))</f>
        <v/>
      </c>
      <c r="F47" s="90" t="str">
        <f>IF(MAESTRO!Q55="","",IFERROR('Planilla (C. Sociales)'!G19,""))</f>
        <v/>
      </c>
      <c r="G47" s="90" t="str">
        <f>IF(MAESTRO!B55="","",IFERROR('Planilla (C. Naturales)'!G19,""))</f>
        <v/>
      </c>
      <c r="H47" s="90" t="str">
        <f>IF(MAESTRO!F55="","",IFERROR('Planilla (Religión)'!G19,""))</f>
        <v/>
      </c>
      <c r="I47" s="90" t="str">
        <f>IF(MAESTRO!B55="","",IFERROR('Planilla (E. Artisticas)'!G19,""))</f>
        <v/>
      </c>
      <c r="J47" s="90" t="str">
        <f>IF(MAESTRO!M55="","",IFERROR('Planilla (Tecnologia)'!G19,""))</f>
        <v/>
      </c>
      <c r="K47" s="90" t="str">
        <f>IF(MAESTRO!N55="","",IFERROR('Planilla (E. Fisica)'!G19,""))</f>
        <v/>
      </c>
      <c r="L47" s="90"/>
    </row>
    <row r="48" spans="1:12">
      <c r="A48" s="87">
        <v>5</v>
      </c>
      <c r="B48" s="88" t="str">
        <f>IF(MAESTRO!B56="","",MAESTRO!B56)</f>
        <v/>
      </c>
      <c r="C48" s="89" t="str">
        <f>IF(MAESTRO!F56="","",IFERROR('Planilla (Ingles) '!G20,""))</f>
        <v/>
      </c>
      <c r="D48" s="89" t="str">
        <f>IF(MAESTRO!I56="","",IFERROR('Planilla (Español)'!G20,""))</f>
        <v/>
      </c>
      <c r="E48" s="89" t="str">
        <f>IF(MAESTRO!M56="","",IFERROR('Planilla (Matematica)'!G20,""))</f>
        <v/>
      </c>
      <c r="F48" s="89" t="str">
        <f>IF(MAESTRO!Q56="","",IFERROR('Planilla (C. Sociales)'!G20,""))</f>
        <v/>
      </c>
      <c r="G48" s="89" t="str">
        <f>IF(MAESTRO!B56="","",IFERROR('Planilla (C. Naturales)'!G20,""))</f>
        <v/>
      </c>
      <c r="H48" s="89" t="str">
        <f>IF(MAESTRO!F56="","",IFERROR('Planilla (Religión)'!G20,""))</f>
        <v/>
      </c>
      <c r="I48" s="89" t="str">
        <f>IF(MAESTRO!B56="","",IFERROR('Planilla (E. Artisticas)'!G20,""))</f>
        <v/>
      </c>
      <c r="J48" s="89" t="str">
        <f>IF(MAESTRO!M56="","",IFERROR('Planilla (Tecnologia)'!G20,""))</f>
        <v/>
      </c>
      <c r="K48" s="89" t="str">
        <f>IF(MAESTRO!N56="","",IFERROR('Planilla (E. Fisica)'!G20,""))</f>
        <v/>
      </c>
      <c r="L48" s="89"/>
    </row>
    <row r="49" spans="1:12">
      <c r="A49" s="85">
        <v>6</v>
      </c>
      <c r="B49" s="86" t="str">
        <f>IF(MAESTRO!B57="","",MAESTRO!B57)</f>
        <v/>
      </c>
      <c r="C49" s="90" t="str">
        <f>IF(MAESTRO!F57="","",IFERROR('Planilla (Ingles) '!G21,""))</f>
        <v/>
      </c>
      <c r="D49" s="90" t="str">
        <f>IF(MAESTRO!I57="","",IFERROR('Planilla (Español)'!G21,""))</f>
        <v/>
      </c>
      <c r="E49" s="90" t="str">
        <f>IF(MAESTRO!M57="","",IFERROR('Planilla (Matematica)'!G21,""))</f>
        <v/>
      </c>
      <c r="F49" s="90" t="str">
        <f>IF(MAESTRO!Q57="","",IFERROR('Planilla (C. Sociales)'!G21,""))</f>
        <v/>
      </c>
      <c r="G49" s="90" t="str">
        <f>IF(MAESTRO!B57="","",IFERROR('Planilla (C. Naturales)'!G21,""))</f>
        <v/>
      </c>
      <c r="H49" s="90" t="str">
        <f>IF(MAESTRO!F57="","",IFERROR('Planilla (Religión)'!G21,""))</f>
        <v/>
      </c>
      <c r="I49" s="90" t="str">
        <f>IF(MAESTRO!B57="","",IFERROR('Planilla (E. Artisticas)'!G21,""))</f>
        <v/>
      </c>
      <c r="J49" s="90" t="str">
        <f>IF(MAESTRO!M57="","",IFERROR('Planilla (Tecnologia)'!G21,""))</f>
        <v/>
      </c>
      <c r="K49" s="90" t="str">
        <f>IF(MAESTRO!N57="","",IFERROR('Planilla (E. Fisica)'!G21,""))</f>
        <v/>
      </c>
      <c r="L49" s="90"/>
    </row>
    <row r="50" spans="1:12">
      <c r="A50" s="87">
        <v>7</v>
      </c>
      <c r="B50" s="88" t="str">
        <f>IF(MAESTRO!B58="","",MAESTRO!B58)</f>
        <v/>
      </c>
      <c r="C50" s="89" t="str">
        <f>IF(MAESTRO!F58="","",IFERROR('Planilla (Ingles) '!G22,""))</f>
        <v/>
      </c>
      <c r="D50" s="89" t="str">
        <f>IF(MAESTRO!I58="","",IFERROR('Planilla (Español)'!G22,""))</f>
        <v/>
      </c>
      <c r="E50" s="89" t="str">
        <f>IF(MAESTRO!M58="","",IFERROR('Planilla (Matematica)'!G22,""))</f>
        <v/>
      </c>
      <c r="F50" s="89" t="str">
        <f>IF(MAESTRO!Q58="","",IFERROR('Planilla (C. Sociales)'!G22,""))</f>
        <v/>
      </c>
      <c r="G50" s="89" t="str">
        <f>IF(MAESTRO!B58="","",IFERROR('Planilla (C. Naturales)'!G22,""))</f>
        <v/>
      </c>
      <c r="H50" s="89" t="str">
        <f>IF(MAESTRO!F58="","",IFERROR('Planilla (Religión)'!G22,""))</f>
        <v/>
      </c>
      <c r="I50" s="89" t="str">
        <f>IF(MAESTRO!B58="","",IFERROR('Planilla (E. Artisticas)'!G22,""))</f>
        <v/>
      </c>
      <c r="J50" s="89" t="str">
        <f>IF(MAESTRO!M58="","",IFERROR('Planilla (Tecnologia)'!G22,""))</f>
        <v/>
      </c>
      <c r="K50" s="89" t="str">
        <f>IF(MAESTRO!N58="","",IFERROR('Planilla (E. Fisica)'!G22,""))</f>
        <v/>
      </c>
      <c r="L50" s="89"/>
    </row>
    <row r="51" spans="1:12">
      <c r="A51" s="85">
        <v>8</v>
      </c>
      <c r="B51" s="86" t="str">
        <f>IF(MAESTRO!B59="","",MAESTRO!B59)</f>
        <v/>
      </c>
      <c r="C51" s="90" t="str">
        <f>IF(MAESTRO!F59="","",IFERROR('Planilla (Ingles) '!G23,""))</f>
        <v/>
      </c>
      <c r="D51" s="90" t="str">
        <f>IF(MAESTRO!I59="","",IFERROR('Planilla (Español)'!G23,""))</f>
        <v/>
      </c>
      <c r="E51" s="90" t="str">
        <f>IF(MAESTRO!M59="","",IFERROR('Planilla (Matematica)'!G23,""))</f>
        <v/>
      </c>
      <c r="F51" s="90" t="str">
        <f>IF(MAESTRO!Q59="","",IFERROR('Planilla (C. Sociales)'!G23,""))</f>
        <v/>
      </c>
      <c r="G51" s="90" t="str">
        <f>IF(MAESTRO!B59="","",IFERROR('Planilla (C. Naturales)'!G23,""))</f>
        <v/>
      </c>
      <c r="H51" s="90" t="str">
        <f>IF(MAESTRO!F59="","",IFERROR('Planilla (Religión)'!G23,""))</f>
        <v/>
      </c>
      <c r="I51" s="90" t="str">
        <f>IF(MAESTRO!B59="","",IFERROR('Planilla (E. Artisticas)'!G23,""))</f>
        <v/>
      </c>
      <c r="J51" s="90" t="str">
        <f>IF(MAESTRO!M59="","",IFERROR('Planilla (Tecnologia)'!G23,""))</f>
        <v/>
      </c>
      <c r="K51" s="90" t="str">
        <f>IF(MAESTRO!N59="","",IFERROR('Planilla (E. Fisica)'!G23,""))</f>
        <v/>
      </c>
      <c r="L51" s="90"/>
    </row>
    <row r="52" spans="1:12">
      <c r="A52" s="87">
        <v>9</v>
      </c>
      <c r="B52" s="88" t="str">
        <f>IF(MAESTRO!B60="","",MAESTRO!B60)</f>
        <v/>
      </c>
      <c r="C52" s="89" t="str">
        <f>IF(MAESTRO!F60="","",IFERROR('Planilla (Ingles) '!G24,""))</f>
        <v/>
      </c>
      <c r="D52" s="89" t="str">
        <f>IF(MAESTRO!I60="","",IFERROR('Planilla (Español)'!G24,""))</f>
        <v/>
      </c>
      <c r="E52" s="89" t="str">
        <f>IF(MAESTRO!M60="","",IFERROR('Planilla (Matematica)'!G24,""))</f>
        <v/>
      </c>
      <c r="F52" s="89" t="str">
        <f>IF(MAESTRO!Q60="","",IFERROR('Planilla (C. Sociales)'!G24,""))</f>
        <v/>
      </c>
      <c r="G52" s="89" t="str">
        <f>IF(MAESTRO!B60="","",IFERROR('Planilla (C. Naturales)'!G24,""))</f>
        <v/>
      </c>
      <c r="H52" s="89" t="str">
        <f>IF(MAESTRO!F60="","",IFERROR('Planilla (Religión)'!G24,""))</f>
        <v/>
      </c>
      <c r="I52" s="89" t="str">
        <f>IF(MAESTRO!B60="","",IFERROR('Planilla (E. Artisticas)'!G24,""))</f>
        <v/>
      </c>
      <c r="J52" s="89" t="str">
        <f>IF(MAESTRO!M60="","",IFERROR('Planilla (Tecnologia)'!G24,""))</f>
        <v/>
      </c>
      <c r="K52" s="89" t="str">
        <f>IF(MAESTRO!N60="","",IFERROR('Planilla (E. Fisica)'!G24,""))</f>
        <v/>
      </c>
      <c r="L52" s="89"/>
    </row>
    <row r="53" spans="1:12">
      <c r="A53" s="85">
        <v>10</v>
      </c>
      <c r="B53" s="86" t="str">
        <f>IF(MAESTRO!B61="","",MAESTRO!B61)</f>
        <v/>
      </c>
      <c r="C53" s="90" t="str">
        <f>IF(MAESTRO!F61="","",IFERROR('Planilla (Ingles) '!G25,""))</f>
        <v/>
      </c>
      <c r="D53" s="90" t="str">
        <f>IF(MAESTRO!I61="","",IFERROR('Planilla (Español)'!G25,""))</f>
        <v/>
      </c>
      <c r="E53" s="90" t="str">
        <f>IF(MAESTRO!M61="","",IFERROR('Planilla (Matematica)'!G25,""))</f>
        <v/>
      </c>
      <c r="F53" s="90" t="str">
        <f>IF(MAESTRO!Q61="","",IFERROR('Planilla (C. Sociales)'!G25,""))</f>
        <v/>
      </c>
      <c r="G53" s="90" t="str">
        <f>IF(MAESTRO!B61="","",IFERROR('Planilla (C. Naturales)'!G25,""))</f>
        <v/>
      </c>
      <c r="H53" s="90" t="str">
        <f>IF(MAESTRO!F61="","",IFERROR('Planilla (Religión)'!G25,""))</f>
        <v/>
      </c>
      <c r="I53" s="90" t="str">
        <f>IF(MAESTRO!B61="","",IFERROR('Planilla (E. Artisticas)'!G25,""))</f>
        <v/>
      </c>
      <c r="J53" s="90" t="str">
        <f>IF(MAESTRO!M61="","",IFERROR('Planilla (Tecnologia)'!G25,""))</f>
        <v/>
      </c>
      <c r="K53" s="90" t="str">
        <f>IF(MAESTRO!N61="","",IFERROR('Planilla (E. Fisica)'!G25,""))</f>
        <v/>
      </c>
      <c r="L53" s="90"/>
    </row>
    <row r="54" spans="1:12">
      <c r="A54" s="87">
        <v>11</v>
      </c>
      <c r="B54" s="88" t="str">
        <f>IF(MAESTRO!B62="","",MAESTRO!B62)</f>
        <v/>
      </c>
      <c r="C54" s="89" t="str">
        <f>IF(MAESTRO!F62="","",IFERROR('Planilla (Ingles) '!G26,""))</f>
        <v/>
      </c>
      <c r="D54" s="89" t="str">
        <f>IF(MAESTRO!I62="","",IFERROR('Planilla (Español)'!G26,""))</f>
        <v/>
      </c>
      <c r="E54" s="89" t="str">
        <f>IF(MAESTRO!M62="","",IFERROR('Planilla (Matematica)'!G26,""))</f>
        <v/>
      </c>
      <c r="F54" s="89" t="str">
        <f>IF(MAESTRO!Q62="","",IFERROR('Planilla (C. Sociales)'!G26,""))</f>
        <v/>
      </c>
      <c r="G54" s="89" t="str">
        <f>IF(MAESTRO!B62="","",IFERROR('Planilla (C. Naturales)'!G26,""))</f>
        <v/>
      </c>
      <c r="H54" s="89" t="str">
        <f>IF(MAESTRO!F62="","",IFERROR('Planilla (Religión)'!G26,""))</f>
        <v/>
      </c>
      <c r="I54" s="89" t="str">
        <f>IF(MAESTRO!B62="","",IFERROR('Planilla (E. Artisticas)'!G26,""))</f>
        <v/>
      </c>
      <c r="J54" s="89" t="str">
        <f>IF(MAESTRO!M62="","",IFERROR('Planilla (Tecnologia)'!G26,""))</f>
        <v/>
      </c>
      <c r="K54" s="89" t="str">
        <f>IF(MAESTRO!N62="","",IFERROR('Planilla (E. Fisica)'!G26,""))</f>
        <v/>
      </c>
      <c r="L54" s="89"/>
    </row>
    <row r="55" spans="1:12">
      <c r="A55" s="85">
        <v>12</v>
      </c>
      <c r="B55" s="86" t="str">
        <f>IF(MAESTRO!B63="","",MAESTRO!B63)</f>
        <v/>
      </c>
      <c r="C55" s="90" t="str">
        <f>IF(MAESTRO!F63="","",IFERROR('Planilla (Ingles) '!G27,""))</f>
        <v/>
      </c>
      <c r="D55" s="90" t="str">
        <f>IF(MAESTRO!I63="","",IFERROR('Planilla (Español)'!G27,""))</f>
        <v/>
      </c>
      <c r="E55" s="90" t="str">
        <f>IF(MAESTRO!M63="","",IFERROR('Planilla (Matematica)'!G27,""))</f>
        <v/>
      </c>
      <c r="F55" s="90" t="str">
        <f>IF(MAESTRO!Q63="","",IFERROR('Planilla (C. Sociales)'!G27,""))</f>
        <v/>
      </c>
      <c r="G55" s="90" t="str">
        <f>IF(MAESTRO!B63="","",IFERROR('Planilla (C. Naturales)'!G27,""))</f>
        <v/>
      </c>
      <c r="H55" s="90" t="str">
        <f>IF(MAESTRO!F63="","",IFERROR('Planilla (Religión)'!G27,""))</f>
        <v/>
      </c>
      <c r="I55" s="90" t="str">
        <f>IF(MAESTRO!B63="","",IFERROR('Planilla (E. Artisticas)'!G27,""))</f>
        <v/>
      </c>
      <c r="J55" s="90" t="str">
        <f>IF(MAESTRO!M63="","",IFERROR('Planilla (Tecnologia)'!G27,""))</f>
        <v/>
      </c>
      <c r="K55" s="90" t="str">
        <f>IF(MAESTRO!N63="","",IFERROR('Planilla (E. Fisica)'!G27,""))</f>
        <v/>
      </c>
      <c r="L55" s="90"/>
    </row>
    <row r="56" spans="1:12">
      <c r="A56" s="87">
        <v>13</v>
      </c>
      <c r="B56" s="88" t="str">
        <f>IF(MAESTRO!B64="","",MAESTRO!B64)</f>
        <v/>
      </c>
      <c r="C56" s="89" t="str">
        <f>IF(MAESTRO!F64="","",IFERROR('Planilla (Ingles) '!G28,""))</f>
        <v/>
      </c>
      <c r="D56" s="89" t="str">
        <f>IF(MAESTRO!I64="","",IFERROR('Planilla (Español)'!G28,""))</f>
        <v/>
      </c>
      <c r="E56" s="89" t="str">
        <f>IF(MAESTRO!M64="","",IFERROR('Planilla (Matematica)'!G28,""))</f>
        <v/>
      </c>
      <c r="F56" s="89" t="str">
        <f>IF(MAESTRO!Q64="","",IFERROR('Planilla (C. Sociales)'!G28,""))</f>
        <v/>
      </c>
      <c r="G56" s="89" t="str">
        <f>IF(MAESTRO!B64="","",IFERROR('Planilla (C. Naturales)'!G28,""))</f>
        <v/>
      </c>
      <c r="H56" s="89" t="str">
        <f>IF(MAESTRO!F64="","",IFERROR('Planilla (Religión)'!G28,""))</f>
        <v/>
      </c>
      <c r="I56" s="89" t="str">
        <f>IF(MAESTRO!B64="","",IFERROR('Planilla (E. Artisticas)'!G28,""))</f>
        <v/>
      </c>
      <c r="J56" s="89" t="str">
        <f>IF(MAESTRO!M64="","",IFERROR('Planilla (Tecnologia)'!G28,""))</f>
        <v/>
      </c>
      <c r="K56" s="89" t="str">
        <f>IF(MAESTRO!N64="","",IFERROR('Planilla (E. Fisica)'!G28,""))</f>
        <v/>
      </c>
      <c r="L56" s="89"/>
    </row>
    <row r="57" spans="1:12">
      <c r="A57" s="85">
        <v>14</v>
      </c>
      <c r="B57" s="86" t="str">
        <f>IF(MAESTRO!B65="","",MAESTRO!B65)</f>
        <v/>
      </c>
      <c r="C57" s="90" t="str">
        <f>IF(MAESTRO!F65="","",IFERROR('Planilla (Ingles) '!G29,""))</f>
        <v/>
      </c>
      <c r="D57" s="90" t="str">
        <f>IF(MAESTRO!I65="","",IFERROR('Planilla (Español)'!G29,""))</f>
        <v/>
      </c>
      <c r="E57" s="90" t="str">
        <f>IF(MAESTRO!M65="","",IFERROR('Planilla (Matematica)'!G29,""))</f>
        <v/>
      </c>
      <c r="F57" s="90" t="str">
        <f>IF(MAESTRO!Q65="","",IFERROR('Planilla (C. Sociales)'!G29,""))</f>
        <v/>
      </c>
      <c r="G57" s="90" t="str">
        <f>IF(MAESTRO!B65="","",IFERROR('Planilla (C. Naturales)'!G29,""))</f>
        <v/>
      </c>
      <c r="H57" s="90" t="str">
        <f>IF(MAESTRO!F65="","",IFERROR('Planilla (Religión)'!G29,""))</f>
        <v/>
      </c>
      <c r="I57" s="90" t="str">
        <f>IF(MAESTRO!B65="","",IFERROR('Planilla (E. Artisticas)'!G29,""))</f>
        <v/>
      </c>
      <c r="J57" s="90" t="str">
        <f>IF(MAESTRO!M65="","",IFERROR('Planilla (Tecnologia)'!G29,""))</f>
        <v/>
      </c>
      <c r="K57" s="90" t="str">
        <f>IF(MAESTRO!N65="","",IFERROR('Planilla (E. Fisica)'!G29,""))</f>
        <v/>
      </c>
      <c r="L57" s="90"/>
    </row>
    <row r="58" spans="1:12">
      <c r="A58" s="87">
        <v>15</v>
      </c>
      <c r="B58" s="88" t="str">
        <f>IF(MAESTRO!B66="","",MAESTRO!B66)</f>
        <v/>
      </c>
      <c r="C58" s="89" t="str">
        <f>IF(MAESTRO!F66="","",IFERROR('Planilla (Ingles) '!G30,""))</f>
        <v/>
      </c>
      <c r="D58" s="89" t="str">
        <f>IF(MAESTRO!I66="","",IFERROR('Planilla (Español)'!G30,""))</f>
        <v/>
      </c>
      <c r="E58" s="89" t="str">
        <f>IF(MAESTRO!M66="","",IFERROR('Planilla (Matematica)'!G30,""))</f>
        <v/>
      </c>
      <c r="F58" s="89" t="str">
        <f>IF(MAESTRO!Q66="","",IFERROR('Planilla (C. Sociales)'!G30,""))</f>
        <v/>
      </c>
      <c r="G58" s="89" t="str">
        <f>IF(MAESTRO!B66="","",IFERROR('Planilla (C. Naturales)'!G30,""))</f>
        <v/>
      </c>
      <c r="H58" s="89" t="str">
        <f>IF(MAESTRO!F66="","",IFERROR('Planilla (Religión)'!G30,""))</f>
        <v/>
      </c>
      <c r="I58" s="89" t="str">
        <f>IF(MAESTRO!B66="","",IFERROR('Planilla (E. Artisticas)'!G30,""))</f>
        <v/>
      </c>
      <c r="J58" s="89" t="str">
        <f>IF(MAESTRO!M66="","",IFERROR('Planilla (Tecnologia)'!G30,""))</f>
        <v/>
      </c>
      <c r="K58" s="89" t="str">
        <f>IF(MAESTRO!N66="","",IFERROR('Planilla (E. Fisica)'!G30,""))</f>
        <v/>
      </c>
      <c r="L58" s="89"/>
    </row>
    <row r="59" spans="1:12">
      <c r="A59" s="85">
        <v>16</v>
      </c>
      <c r="B59" s="86" t="str">
        <f>IF(MAESTRO!B67="","",MAESTRO!B67)</f>
        <v/>
      </c>
      <c r="C59" s="90" t="str">
        <f>IF(MAESTRO!F67="","",IFERROR('Planilla (Ingles) '!G31,""))</f>
        <v/>
      </c>
      <c r="D59" s="90" t="str">
        <f>IF(MAESTRO!I67="","",IFERROR('Planilla (Español)'!G31,""))</f>
        <v/>
      </c>
      <c r="E59" s="90" t="str">
        <f>IF(MAESTRO!M67="","",IFERROR('Planilla (Matematica)'!G31,""))</f>
        <v/>
      </c>
      <c r="F59" s="90" t="str">
        <f>IF(MAESTRO!Q67="","",IFERROR('Planilla (C. Sociales)'!G31,""))</f>
        <v/>
      </c>
      <c r="G59" s="90" t="str">
        <f>IF(MAESTRO!B67="","",IFERROR('Planilla (C. Naturales)'!G31,""))</f>
        <v/>
      </c>
      <c r="H59" s="90" t="str">
        <f>IF(MAESTRO!F67="","",IFERROR('Planilla (Religión)'!G31,""))</f>
        <v/>
      </c>
      <c r="I59" s="90" t="str">
        <f>IF(MAESTRO!B67="","",IFERROR('Planilla (E. Artisticas)'!G31,""))</f>
        <v/>
      </c>
      <c r="J59" s="90" t="str">
        <f>IF(MAESTRO!M67="","",IFERROR('Planilla (Tecnologia)'!G31,""))</f>
        <v/>
      </c>
      <c r="K59" s="90" t="str">
        <f>IF(MAESTRO!N67="","",IFERROR('Planilla (E. Fisica)'!G31,""))</f>
        <v/>
      </c>
      <c r="L59" s="90"/>
    </row>
    <row r="60" spans="1:12">
      <c r="A60" s="87">
        <v>17</v>
      </c>
      <c r="B60" s="88" t="str">
        <f>IF(MAESTRO!B68="","",MAESTRO!B68)</f>
        <v/>
      </c>
      <c r="C60" s="89" t="str">
        <f>IF(MAESTRO!F68="","",IFERROR('Planilla (Ingles) '!G32,""))</f>
        <v/>
      </c>
      <c r="D60" s="89" t="str">
        <f>IF(MAESTRO!I68="","",IFERROR('Planilla (Español)'!G32,""))</f>
        <v/>
      </c>
      <c r="E60" s="89" t="str">
        <f>IF(MAESTRO!M68="","",IFERROR('Planilla (Matematica)'!G32,""))</f>
        <v/>
      </c>
      <c r="F60" s="89" t="str">
        <f>IF(MAESTRO!Q68="","",IFERROR('Planilla (C. Sociales)'!G32,""))</f>
        <v/>
      </c>
      <c r="G60" s="89" t="str">
        <f>IF(MAESTRO!B68="","",IFERROR('Planilla (C. Naturales)'!G32,""))</f>
        <v/>
      </c>
      <c r="H60" s="89" t="str">
        <f>IF(MAESTRO!F68="","",IFERROR('Planilla (Religión)'!G32,""))</f>
        <v/>
      </c>
      <c r="I60" s="89" t="str">
        <f>IF(MAESTRO!B68="","",IFERROR('Planilla (E. Artisticas)'!G32,""))</f>
        <v/>
      </c>
      <c r="J60" s="89" t="str">
        <f>IF(MAESTRO!M68="","",IFERROR('Planilla (Tecnologia)'!G32,""))</f>
        <v/>
      </c>
      <c r="K60" s="89" t="str">
        <f>IF(MAESTRO!N68="","",IFERROR('Planilla (E. Fisica)'!G32,""))</f>
        <v/>
      </c>
      <c r="L60" s="89"/>
    </row>
    <row r="61" spans="1:12">
      <c r="A61" s="85">
        <v>18</v>
      </c>
      <c r="B61" s="86" t="str">
        <f>IF(MAESTRO!B69="","",MAESTRO!B69)</f>
        <v/>
      </c>
      <c r="C61" s="90" t="str">
        <f>IF(MAESTRO!F69="","",IFERROR('Planilla (Ingles) '!G33,""))</f>
        <v/>
      </c>
      <c r="D61" s="90" t="str">
        <f>IF(MAESTRO!I69="","",IFERROR('Planilla (Español)'!G33,""))</f>
        <v/>
      </c>
      <c r="E61" s="90" t="str">
        <f>IF(MAESTRO!M69="","",IFERROR('Planilla (Matematica)'!G33,""))</f>
        <v/>
      </c>
      <c r="F61" s="90" t="str">
        <f>IF(MAESTRO!Q69="","",IFERROR('Planilla (C. Sociales)'!G33,""))</f>
        <v/>
      </c>
      <c r="G61" s="90" t="str">
        <f>IF(MAESTRO!B69="","",IFERROR('Planilla (C. Naturales)'!G33,""))</f>
        <v/>
      </c>
      <c r="H61" s="90" t="str">
        <f>IF(MAESTRO!F69="","",IFERROR('Planilla (Religión)'!G33,""))</f>
        <v/>
      </c>
      <c r="I61" s="90" t="str">
        <f>IF(MAESTRO!B69="","",IFERROR('Planilla (E. Artisticas)'!G33,""))</f>
        <v/>
      </c>
      <c r="J61" s="90" t="str">
        <f>IF(MAESTRO!M69="","",IFERROR('Planilla (Tecnologia)'!G33,""))</f>
        <v/>
      </c>
      <c r="K61" s="90" t="str">
        <f>IF(MAESTRO!N69="","",IFERROR('Planilla (E. Fisica)'!G33,""))</f>
        <v/>
      </c>
      <c r="L61" s="90"/>
    </row>
    <row r="62" spans="1:12">
      <c r="A62" s="87">
        <v>19</v>
      </c>
      <c r="B62" s="88" t="str">
        <f>IF(MAESTRO!B70="","",MAESTRO!B70)</f>
        <v/>
      </c>
      <c r="C62" s="89" t="str">
        <f>IF(MAESTRO!F70="","",IFERROR('Planilla (Ingles) '!G34,""))</f>
        <v/>
      </c>
      <c r="D62" s="89" t="str">
        <f>IF(MAESTRO!I70="","",IFERROR('Planilla (Español)'!G34,""))</f>
        <v/>
      </c>
      <c r="E62" s="89" t="str">
        <f>IF(MAESTRO!M70="","",IFERROR('Planilla (Matematica)'!G34,""))</f>
        <v/>
      </c>
      <c r="F62" s="89" t="str">
        <f>IF(MAESTRO!Q70="","",IFERROR('Planilla (C. Sociales)'!G34,""))</f>
        <v/>
      </c>
      <c r="G62" s="89" t="str">
        <f>IF(MAESTRO!B70="","",IFERROR('Planilla (C. Naturales)'!G34,""))</f>
        <v/>
      </c>
      <c r="H62" s="89" t="str">
        <f>IF(MAESTRO!F70="","",IFERROR('Planilla (Religión)'!G34,""))</f>
        <v/>
      </c>
      <c r="I62" s="89" t="str">
        <f>IF(MAESTRO!B70="","",IFERROR('Planilla (E. Artisticas)'!G34,""))</f>
        <v/>
      </c>
      <c r="J62" s="89" t="str">
        <f>IF(MAESTRO!M70="","",IFERROR('Planilla (Tecnologia)'!G34,""))</f>
        <v/>
      </c>
      <c r="K62" s="89" t="str">
        <f>IF(MAESTRO!N70="","",IFERROR('Planilla (E. Fisica)'!G34,""))</f>
        <v/>
      </c>
      <c r="L62" s="89"/>
    </row>
    <row r="63" spans="1:12">
      <c r="A63" s="85">
        <v>20</v>
      </c>
      <c r="B63" s="86" t="str">
        <f>IF(MAESTRO!B71="","",MAESTRO!B71)</f>
        <v/>
      </c>
      <c r="C63" s="90" t="str">
        <f>IF(MAESTRO!F71="","",IFERROR('Planilla (Ingles) '!G35,""))</f>
        <v/>
      </c>
      <c r="D63" s="90" t="str">
        <f>IF(MAESTRO!I71="","",IFERROR('Planilla (Español)'!G35,""))</f>
        <v/>
      </c>
      <c r="E63" s="90" t="str">
        <f>IF(MAESTRO!M71="","",IFERROR('Planilla (Matematica)'!G35,""))</f>
        <v/>
      </c>
      <c r="F63" s="90" t="str">
        <f>IF(MAESTRO!Q71="","",IFERROR('Planilla (C. Sociales)'!G35,""))</f>
        <v/>
      </c>
      <c r="G63" s="90" t="str">
        <f>IF(MAESTRO!B71="","",IFERROR('Planilla (C. Naturales)'!G35,""))</f>
        <v/>
      </c>
      <c r="H63" s="90" t="str">
        <f>IF(MAESTRO!F71="","",IFERROR('Planilla (Religión)'!G35,""))</f>
        <v/>
      </c>
      <c r="I63" s="90" t="str">
        <f>IF(MAESTRO!B71="","",IFERROR('Planilla (E. Artisticas)'!G35,""))</f>
        <v/>
      </c>
      <c r="J63" s="90" t="str">
        <f>IF(MAESTRO!M71="","",IFERROR('Planilla (Tecnologia)'!G35,""))</f>
        <v/>
      </c>
      <c r="K63" s="90" t="str">
        <f>IF(MAESTRO!N71="","",IFERROR('Planilla (E. Fisica)'!G35,""))</f>
        <v/>
      </c>
      <c r="L63" s="90"/>
    </row>
    <row r="64" spans="1:12">
      <c r="A64" s="87">
        <v>21</v>
      </c>
      <c r="B64" s="88" t="str">
        <f>IF(MAESTRO!B72="","",MAESTRO!B72)</f>
        <v/>
      </c>
      <c r="C64" s="89" t="str">
        <f>IF(MAESTRO!F72="","",IFERROR('Planilla (Ingles) '!G36,""))</f>
        <v/>
      </c>
      <c r="D64" s="89" t="str">
        <f>IF(MAESTRO!I72="","",IFERROR('Planilla (Español)'!G36,""))</f>
        <v/>
      </c>
      <c r="E64" s="89" t="str">
        <f>IF(MAESTRO!M72="","",IFERROR('Planilla (Matematica)'!G36,""))</f>
        <v/>
      </c>
      <c r="F64" s="89" t="str">
        <f>IF(MAESTRO!Q72="","",IFERROR('Planilla (C. Sociales)'!G36,""))</f>
        <v/>
      </c>
      <c r="G64" s="89" t="str">
        <f>IF(MAESTRO!B72="","",IFERROR('Planilla (C. Naturales)'!G36,""))</f>
        <v/>
      </c>
      <c r="H64" s="89" t="str">
        <f>IF(MAESTRO!F72="","",IFERROR('Planilla (Religión)'!G36,""))</f>
        <v/>
      </c>
      <c r="I64" s="89" t="str">
        <f>IF(MAESTRO!B72="","",IFERROR('Planilla (E. Artisticas)'!G36,""))</f>
        <v/>
      </c>
      <c r="J64" s="89" t="str">
        <f>IF(MAESTRO!M72="","",IFERROR('Planilla (Tecnologia)'!G36,""))</f>
        <v/>
      </c>
      <c r="K64" s="89" t="str">
        <f>IF(MAESTRO!N72="","",IFERROR('Planilla (E. Fisica)'!G36,""))</f>
        <v/>
      </c>
      <c r="L64" s="89"/>
    </row>
    <row r="65" spans="1:12">
      <c r="A65" s="85">
        <v>22</v>
      </c>
      <c r="B65" s="86" t="str">
        <f>IF(MAESTRO!B73="","",MAESTRO!B73)</f>
        <v/>
      </c>
      <c r="C65" s="90" t="str">
        <f>IF(MAESTRO!F73="","",IFERROR('Planilla (Ingles) '!G37,""))</f>
        <v/>
      </c>
      <c r="D65" s="90" t="str">
        <f>IF(MAESTRO!I73="","",IFERROR('Planilla (Español)'!G37,""))</f>
        <v/>
      </c>
      <c r="E65" s="90" t="str">
        <f>IF(MAESTRO!M73="","",IFERROR('Planilla (Matematica)'!G37,""))</f>
        <v/>
      </c>
      <c r="F65" s="90" t="str">
        <f>IF(MAESTRO!Q73="","",IFERROR('Planilla (C. Sociales)'!G37,""))</f>
        <v/>
      </c>
      <c r="G65" s="90" t="str">
        <f>IF(MAESTRO!B73="","",IFERROR('Planilla (C. Naturales)'!G37,""))</f>
        <v/>
      </c>
      <c r="H65" s="90" t="str">
        <f>IF(MAESTRO!F73="","",IFERROR('Planilla (Religión)'!G37,""))</f>
        <v/>
      </c>
      <c r="I65" s="90" t="str">
        <f>IF(MAESTRO!B73="","",IFERROR('Planilla (E. Artisticas)'!G37,""))</f>
        <v/>
      </c>
      <c r="J65" s="90" t="str">
        <f>IF(MAESTRO!M73="","",IFERROR('Planilla (Tecnologia)'!G37,""))</f>
        <v/>
      </c>
      <c r="K65" s="90" t="str">
        <f>IF(MAESTRO!N73="","",IFERROR('Planilla (E. Fisica)'!G37,""))</f>
        <v/>
      </c>
      <c r="L65" s="90"/>
    </row>
    <row r="66" spans="1:12">
      <c r="A66" s="87">
        <v>23</v>
      </c>
      <c r="B66" s="88" t="str">
        <f>IF(MAESTRO!B74="","",MAESTRO!B74)</f>
        <v/>
      </c>
      <c r="C66" s="89" t="str">
        <f>IF(MAESTRO!F74="","",IFERROR('Planilla (Ingles) '!G38,""))</f>
        <v/>
      </c>
      <c r="D66" s="89" t="str">
        <f>IF(MAESTRO!I74="","",IFERROR('Planilla (Español)'!G38,""))</f>
        <v/>
      </c>
      <c r="E66" s="89" t="str">
        <f>IF(MAESTRO!M74="","",IFERROR('Planilla (Matematica)'!G38,""))</f>
        <v/>
      </c>
      <c r="F66" s="89" t="str">
        <f>IF(MAESTRO!Q74="","",IFERROR('Planilla (C. Sociales)'!G38,""))</f>
        <v/>
      </c>
      <c r="G66" s="89" t="str">
        <f>IF(MAESTRO!B74="","",IFERROR('Planilla (C. Naturales)'!G38,""))</f>
        <v/>
      </c>
      <c r="H66" s="89" t="str">
        <f>IF(MAESTRO!F74="","",IFERROR('Planilla (Religión)'!G38,""))</f>
        <v/>
      </c>
      <c r="I66" s="89" t="str">
        <f>IF(MAESTRO!B74="","",IFERROR('Planilla (E. Artisticas)'!G38,""))</f>
        <v/>
      </c>
      <c r="J66" s="89" t="str">
        <f>IF(MAESTRO!M74="","",IFERROR('Planilla (Tecnologia)'!G38,""))</f>
        <v/>
      </c>
      <c r="K66" s="89" t="str">
        <f>IF(MAESTRO!N74="","",IFERROR('Planilla (E. Fisica)'!G38,""))</f>
        <v/>
      </c>
      <c r="L66" s="89"/>
    </row>
    <row r="67" spans="1:12">
      <c r="A67" s="85">
        <v>24</v>
      </c>
      <c r="B67" s="86" t="str">
        <f>IF(MAESTRO!B75="","",MAESTRO!B75)</f>
        <v/>
      </c>
      <c r="C67" s="90" t="str">
        <f>IF(MAESTRO!F75="","",IFERROR('Planilla (Ingles) '!G39,""))</f>
        <v/>
      </c>
      <c r="D67" s="90" t="str">
        <f>IF(MAESTRO!I75="","",IFERROR('Planilla (Español)'!G39,""))</f>
        <v/>
      </c>
      <c r="E67" s="90" t="str">
        <f>IF(MAESTRO!M75="","",IFERROR('Planilla (Matematica)'!G39,""))</f>
        <v/>
      </c>
      <c r="F67" s="90" t="str">
        <f>IF(MAESTRO!Q75="","",IFERROR('Planilla (C. Sociales)'!G39,""))</f>
        <v/>
      </c>
      <c r="G67" s="90" t="str">
        <f>IF(MAESTRO!B75="","",IFERROR('Planilla (C. Naturales)'!G39,""))</f>
        <v/>
      </c>
      <c r="H67" s="90" t="str">
        <f>IF(MAESTRO!F75="","",IFERROR('Planilla (Religión)'!G39,""))</f>
        <v/>
      </c>
      <c r="I67" s="90" t="str">
        <f>IF(MAESTRO!B75="","",IFERROR('Planilla (E. Artisticas)'!G39,""))</f>
        <v/>
      </c>
      <c r="J67" s="90" t="str">
        <f>IF(MAESTRO!M75="","",IFERROR('Planilla (Tecnologia)'!G39,""))</f>
        <v/>
      </c>
      <c r="K67" s="90" t="str">
        <f>IF(MAESTRO!N75="","",IFERROR('Planilla (E. Fisica)'!G39,""))</f>
        <v/>
      </c>
      <c r="L67" s="90"/>
    </row>
    <row r="68" spans="1:12">
      <c r="A68" s="87">
        <v>25</v>
      </c>
      <c r="B68" s="88" t="str">
        <f>IF(MAESTRO!B76="","",MAESTRO!B76)</f>
        <v/>
      </c>
      <c r="C68" s="89" t="str">
        <f>IF(MAESTRO!F76="","",IFERROR('Planilla (Ingles) '!G40,""))</f>
        <v/>
      </c>
      <c r="D68" s="89" t="str">
        <f>IF(MAESTRO!I76="","",IFERROR('Planilla (Español)'!G40,""))</f>
        <v/>
      </c>
      <c r="E68" s="89" t="str">
        <f>IF(MAESTRO!M76="","",IFERROR('Planilla (Matematica)'!G40,""))</f>
        <v/>
      </c>
      <c r="F68" s="89" t="str">
        <f>IF(MAESTRO!Q76="","",IFERROR('Planilla (C. Sociales)'!G40,""))</f>
        <v/>
      </c>
      <c r="G68" s="89" t="str">
        <f>IF(MAESTRO!B76="","",IFERROR('Planilla (C. Naturales)'!G40,""))</f>
        <v/>
      </c>
      <c r="H68" s="89" t="str">
        <f>IF(MAESTRO!F76="","",IFERROR('Planilla (Religión)'!G40,""))</f>
        <v/>
      </c>
      <c r="I68" s="89" t="str">
        <f>IF(MAESTRO!B76="","",IFERROR('Planilla (E. Artisticas)'!G40,""))</f>
        <v/>
      </c>
      <c r="J68" s="89" t="str">
        <f>IF(MAESTRO!M76="","",IFERROR('Planilla (Tecnologia)'!G40,""))</f>
        <v/>
      </c>
      <c r="K68" s="89" t="str">
        <f>IF(MAESTRO!N76="","",IFERROR('Planilla (E. Fisica)'!G40,""))</f>
        <v/>
      </c>
      <c r="L68" s="89"/>
    </row>
    <row r="69" spans="1:12">
      <c r="A69" s="85">
        <v>26</v>
      </c>
      <c r="B69" s="86" t="str">
        <f>IF(MAESTRO!B77="","",MAESTRO!B77)</f>
        <v/>
      </c>
      <c r="C69" s="90" t="str">
        <f>IF(MAESTRO!F77="","",IFERROR('Planilla (Ingles) '!G41,""))</f>
        <v/>
      </c>
      <c r="D69" s="90" t="str">
        <f>IF(MAESTRO!I77="","",IFERROR('Planilla (Español)'!G41,""))</f>
        <v/>
      </c>
      <c r="E69" s="90" t="str">
        <f>IF(MAESTRO!M77="","",IFERROR('Planilla (Matematica)'!G41,""))</f>
        <v/>
      </c>
      <c r="F69" s="90" t="str">
        <f>IF(MAESTRO!Q77="","",IFERROR('Planilla (C. Sociales)'!G41,""))</f>
        <v/>
      </c>
      <c r="G69" s="90" t="str">
        <f>IF(MAESTRO!B77="","",IFERROR('Planilla (C. Naturales)'!G41,""))</f>
        <v/>
      </c>
      <c r="H69" s="90" t="str">
        <f>IF(MAESTRO!F77="","",IFERROR('Planilla (Religión)'!G41,""))</f>
        <v/>
      </c>
      <c r="I69" s="90" t="str">
        <f>IF(MAESTRO!B77="","",IFERROR('Planilla (E. Artisticas)'!G41,""))</f>
        <v/>
      </c>
      <c r="J69" s="90" t="str">
        <f>IF(MAESTRO!M77="","",IFERROR('Planilla (Tecnologia)'!G41,""))</f>
        <v/>
      </c>
      <c r="K69" s="90" t="str">
        <f>IF(MAESTRO!N77="","",IFERROR('Planilla (E. Fisica)'!G41,""))</f>
        <v/>
      </c>
      <c r="L69" s="90"/>
    </row>
    <row r="70" spans="1:12">
      <c r="A70" s="87">
        <v>27</v>
      </c>
      <c r="B70" s="88" t="str">
        <f>IF(MAESTRO!B78="","",MAESTRO!B78)</f>
        <v/>
      </c>
      <c r="C70" s="89" t="str">
        <f>IF(MAESTRO!F78="","",IFERROR('Planilla (Ingles) '!G42,""))</f>
        <v/>
      </c>
      <c r="D70" s="89" t="str">
        <f>IF(MAESTRO!I78="","",IFERROR('Planilla (Español)'!G42,""))</f>
        <v/>
      </c>
      <c r="E70" s="89" t="str">
        <f>IF(MAESTRO!M78="","",IFERROR('Planilla (Matematica)'!G42,""))</f>
        <v/>
      </c>
      <c r="F70" s="89" t="str">
        <f>IF(MAESTRO!Q78="","",IFERROR('Planilla (C. Sociales)'!G42,""))</f>
        <v/>
      </c>
      <c r="G70" s="89" t="str">
        <f>IF(MAESTRO!B78="","",IFERROR('Planilla (C. Naturales)'!G42,""))</f>
        <v/>
      </c>
      <c r="H70" s="89" t="str">
        <f>IF(MAESTRO!F78="","",IFERROR('Planilla (Religión)'!G42,""))</f>
        <v/>
      </c>
      <c r="I70" s="89" t="str">
        <f>IF(MAESTRO!B78="","",IFERROR('Planilla (E. Artisticas)'!G42,""))</f>
        <v/>
      </c>
      <c r="J70" s="89" t="str">
        <f>IF(MAESTRO!M78="","",IFERROR('Planilla (Tecnologia)'!G42,""))</f>
        <v/>
      </c>
      <c r="K70" s="89" t="str">
        <f>IF(MAESTRO!N78="","",IFERROR('Planilla (E. Fisica)'!G42,""))</f>
        <v/>
      </c>
      <c r="L70" s="89"/>
    </row>
    <row r="71" spans="1:12">
      <c r="A71" s="85">
        <v>28</v>
      </c>
      <c r="B71" s="86" t="str">
        <f>IF(MAESTRO!B79="","",MAESTRO!B79)</f>
        <v/>
      </c>
      <c r="C71" s="90" t="str">
        <f>IF(MAESTRO!F79="","",IFERROR('Planilla (Ingles) '!G43,""))</f>
        <v/>
      </c>
      <c r="D71" s="90" t="str">
        <f>IF(MAESTRO!I79="","",IFERROR('Planilla (Español)'!G43,""))</f>
        <v/>
      </c>
      <c r="E71" s="90" t="str">
        <f>IF(MAESTRO!M79="","",IFERROR('Planilla (Matematica)'!G43,""))</f>
        <v/>
      </c>
      <c r="F71" s="90" t="str">
        <f>IF(MAESTRO!Q79="","",IFERROR('Planilla (C. Sociales)'!G43,""))</f>
        <v/>
      </c>
      <c r="G71" s="90" t="str">
        <f>IF(MAESTRO!B79="","",IFERROR('Planilla (C. Naturales)'!G43,""))</f>
        <v/>
      </c>
      <c r="H71" s="90" t="str">
        <f>IF(MAESTRO!F79="","",IFERROR('Planilla (Religión)'!G43,""))</f>
        <v/>
      </c>
      <c r="I71" s="90" t="str">
        <f>IF(MAESTRO!B79="","",IFERROR('Planilla (E. Artisticas)'!G43,""))</f>
        <v/>
      </c>
      <c r="J71" s="90" t="str">
        <f>IF(MAESTRO!M79="","",IFERROR('Planilla (Tecnologia)'!G43,""))</f>
        <v/>
      </c>
      <c r="K71" s="90" t="str">
        <f>IF(MAESTRO!N79="","",IFERROR('Planilla (E. Fisica)'!G43,""))</f>
        <v/>
      </c>
      <c r="L71" s="90"/>
    </row>
    <row r="72" spans="1:12">
      <c r="A72" s="87">
        <v>29</v>
      </c>
      <c r="B72" s="88" t="str">
        <f>IF(MAESTRO!B80="","",MAESTRO!B80)</f>
        <v/>
      </c>
      <c r="C72" s="89" t="str">
        <f>IF(MAESTRO!F80="","",IFERROR('Planilla (Ingles) '!G44,""))</f>
        <v/>
      </c>
      <c r="D72" s="89" t="str">
        <f>IF(MAESTRO!I80="","",IFERROR('Planilla (Español)'!G44,""))</f>
        <v/>
      </c>
      <c r="E72" s="89" t="str">
        <f>IF(MAESTRO!M80="","",IFERROR('Planilla (Matematica)'!G44,""))</f>
        <v/>
      </c>
      <c r="F72" s="89" t="str">
        <f>IF(MAESTRO!Q80="","",IFERROR('Planilla (C. Sociales)'!G44,""))</f>
        <v/>
      </c>
      <c r="G72" s="89" t="str">
        <f>IF(MAESTRO!B80="","",IFERROR('Planilla (C. Naturales)'!G44,""))</f>
        <v/>
      </c>
      <c r="H72" s="89" t="str">
        <f>IF(MAESTRO!F80="","",IFERROR('Planilla (Religión)'!G44,""))</f>
        <v/>
      </c>
      <c r="I72" s="89" t="str">
        <f>IF(MAESTRO!B80="","",IFERROR('Planilla (E. Artisticas)'!G44,""))</f>
        <v/>
      </c>
      <c r="J72" s="89" t="str">
        <f>IF(MAESTRO!M80="","",IFERROR('Planilla (Tecnologia)'!G44,""))</f>
        <v/>
      </c>
      <c r="K72" s="89" t="str">
        <f>IF(MAESTRO!N80="","",IFERROR('Planilla (E. Fisica)'!G44,""))</f>
        <v/>
      </c>
      <c r="L72" s="89"/>
    </row>
    <row r="73" spans="1:12">
      <c r="A73" s="85">
        <v>30</v>
      </c>
      <c r="B73" s="86" t="str">
        <f>IF(MAESTRO!B81="","",MAESTRO!B81)</f>
        <v/>
      </c>
      <c r="C73" s="90" t="str">
        <f>IF(MAESTRO!F81="","",IFERROR('Planilla (Ingles) '!G45,""))</f>
        <v/>
      </c>
      <c r="D73" s="90" t="str">
        <f>IF(MAESTRO!I81="","",IFERROR('Planilla (Español)'!G45,""))</f>
        <v/>
      </c>
      <c r="E73" s="90" t="str">
        <f>IF(MAESTRO!M81="","",IFERROR('Planilla (Matematica)'!G45,""))</f>
        <v/>
      </c>
      <c r="F73" s="90" t="str">
        <f>IF(MAESTRO!Q81="","",IFERROR('Planilla (C. Sociales)'!G45,""))</f>
        <v/>
      </c>
      <c r="G73" s="90" t="str">
        <f>IF(MAESTRO!B81="","",IFERROR('Planilla (C. Naturales)'!G45,""))</f>
        <v/>
      </c>
      <c r="H73" s="90" t="str">
        <f>IF(MAESTRO!F81="","",IFERROR('Planilla (Religión)'!G45,""))</f>
        <v/>
      </c>
      <c r="I73" s="90" t="str">
        <f>IF(MAESTRO!B81="","",IFERROR('Planilla (E. Artisticas)'!G45,""))</f>
        <v/>
      </c>
      <c r="J73" s="90" t="str">
        <f>IF(MAESTRO!M81="","",IFERROR('Planilla (Tecnologia)'!G45,""))</f>
        <v/>
      </c>
      <c r="K73" s="90" t="str">
        <f>IF(MAESTRO!N81="","",IFERROR('Planilla (E. Fisica)'!G45,""))</f>
        <v/>
      </c>
      <c r="L73" s="90"/>
    </row>
    <row r="74" spans="1:12">
      <c r="A74" s="87">
        <v>31</v>
      </c>
      <c r="B74" s="88" t="str">
        <f>IF(MAESTRO!B82="","",MAESTRO!B82)</f>
        <v/>
      </c>
      <c r="C74" s="89" t="str">
        <f>IF(MAESTRO!F82="","",IFERROR('Planilla (Ingles) '!G46,""))</f>
        <v/>
      </c>
      <c r="D74" s="89" t="str">
        <f>IF(MAESTRO!I82="","",IFERROR('Planilla (Español)'!G46,""))</f>
        <v/>
      </c>
      <c r="E74" s="89" t="str">
        <f>IF(MAESTRO!M82="","",IFERROR('Planilla (Matematica)'!G46,""))</f>
        <v/>
      </c>
      <c r="F74" s="89" t="str">
        <f>IF(MAESTRO!Q82="","",IFERROR('Planilla (C. Sociales)'!G46,""))</f>
        <v/>
      </c>
      <c r="G74" s="89" t="str">
        <f>IF(MAESTRO!B82="","",IFERROR('Planilla (C. Naturales)'!G46,""))</f>
        <v/>
      </c>
      <c r="H74" s="89" t="str">
        <f>IF(MAESTRO!F82="","",IFERROR('Planilla (Religión)'!G46,""))</f>
        <v/>
      </c>
      <c r="I74" s="89" t="str">
        <f>IF(MAESTRO!B82="","",IFERROR('Planilla (E. Artisticas)'!G46,""))</f>
        <v/>
      </c>
      <c r="J74" s="89" t="str">
        <f>IF(MAESTRO!M82="","",IFERROR('Planilla (Tecnologia)'!G46,""))</f>
        <v/>
      </c>
      <c r="K74" s="89" t="str">
        <f>IF(MAESTRO!N82="","",IFERROR('Planilla (E. Fisica)'!G46,""))</f>
        <v/>
      </c>
      <c r="L74" s="89"/>
    </row>
    <row r="75" spans="1:12">
      <c r="A75" s="85">
        <v>32</v>
      </c>
      <c r="B75" s="86" t="str">
        <f>IF(MAESTRO!B83="","",MAESTRO!B83)</f>
        <v/>
      </c>
      <c r="C75" s="90" t="str">
        <f>IF(MAESTRO!F83="","",IFERROR('Planilla (Ingles) '!G47,""))</f>
        <v/>
      </c>
      <c r="D75" s="90" t="str">
        <f>IF(MAESTRO!I83="","",IFERROR('Planilla (Español)'!G47,""))</f>
        <v/>
      </c>
      <c r="E75" s="90" t="str">
        <f>IF(MAESTRO!M83="","",IFERROR('Planilla (Matematica)'!G47,""))</f>
        <v/>
      </c>
      <c r="F75" s="90" t="str">
        <f>IF(MAESTRO!Q83="","",IFERROR('Planilla (C. Sociales)'!G47,""))</f>
        <v/>
      </c>
      <c r="G75" s="90" t="str">
        <f>IF(MAESTRO!B83="","",IFERROR('Planilla (C. Naturales)'!G47,""))</f>
        <v/>
      </c>
      <c r="H75" s="90" t="str">
        <f>IF(MAESTRO!F83="","",IFERROR('Planilla (Religión)'!G47,""))</f>
        <v/>
      </c>
      <c r="I75" s="90" t="str">
        <f>IF(MAESTRO!B83="","",IFERROR('Planilla (E. Artisticas)'!G47,""))</f>
        <v/>
      </c>
      <c r="J75" s="90" t="str">
        <f>IF(MAESTRO!M83="","",IFERROR('Planilla (Tecnologia)'!G47,""))</f>
        <v/>
      </c>
      <c r="K75" s="90" t="str">
        <f>IF(MAESTRO!N83="","",IFERROR('Planilla (E. Fisica)'!G47,""))</f>
        <v/>
      </c>
      <c r="L75" s="90"/>
    </row>
    <row r="76" spans="1:12">
      <c r="A76" s="87">
        <v>33</v>
      </c>
      <c r="B76" s="88" t="str">
        <f>IF(MAESTRO!B84="","",MAESTRO!B84)</f>
        <v/>
      </c>
      <c r="C76" s="89" t="str">
        <f>IF(MAESTRO!F84="","",IFERROR('Planilla (Ingles) '!G48,""))</f>
        <v/>
      </c>
      <c r="D76" s="89" t="str">
        <f>IF(MAESTRO!I84="","",IFERROR('Planilla (Español)'!G48,""))</f>
        <v/>
      </c>
      <c r="E76" s="89" t="str">
        <f>IF(MAESTRO!M84="","",IFERROR('Planilla (Matematica)'!G48,""))</f>
        <v/>
      </c>
      <c r="F76" s="89" t="str">
        <f>IF(MAESTRO!Q84="","",IFERROR('Planilla (C. Sociales)'!G48,""))</f>
        <v/>
      </c>
      <c r="G76" s="89" t="str">
        <f>IF(MAESTRO!B84="","",IFERROR('Planilla (C. Naturales)'!G48,""))</f>
        <v/>
      </c>
      <c r="H76" s="89" t="str">
        <f>IF(MAESTRO!F84="","",IFERROR('Planilla (Religión)'!G48,""))</f>
        <v/>
      </c>
      <c r="I76" s="89" t="str">
        <f>IF(MAESTRO!B84="","",IFERROR('Planilla (E. Artisticas)'!G48,""))</f>
        <v/>
      </c>
      <c r="J76" s="89" t="str">
        <f>IF(MAESTRO!M84="","",IFERROR('Planilla (Tecnologia)'!G48,""))</f>
        <v/>
      </c>
      <c r="K76" s="89" t="str">
        <f>IF(MAESTRO!N84="","",IFERROR('Planilla (E. Fisica)'!G48,""))</f>
        <v/>
      </c>
      <c r="L76" s="89"/>
    </row>
    <row r="77" spans="1:12">
      <c r="A77" s="85">
        <v>34</v>
      </c>
      <c r="B77" s="86" t="str">
        <f>IF(MAESTRO!B85="","",MAESTRO!B85)</f>
        <v/>
      </c>
      <c r="C77" s="90" t="str">
        <f>IF(MAESTRO!F85="","",IFERROR('Planilla (Ingles) '!G49,""))</f>
        <v/>
      </c>
      <c r="D77" s="90" t="str">
        <f>IF(MAESTRO!I85="","",IFERROR('Planilla (Español)'!G49,""))</f>
        <v/>
      </c>
      <c r="E77" s="90" t="str">
        <f>IF(MAESTRO!M85="","",IFERROR('Planilla (Matematica)'!G49,""))</f>
        <v/>
      </c>
      <c r="F77" s="90" t="str">
        <f>IF(MAESTRO!Q85="","",IFERROR('Planilla (C. Sociales)'!G49,""))</f>
        <v/>
      </c>
      <c r="G77" s="90" t="str">
        <f>IF(MAESTRO!B85="","",IFERROR('Planilla (C. Naturales)'!G49,""))</f>
        <v/>
      </c>
      <c r="H77" s="90" t="str">
        <f>IF(MAESTRO!F85="","",IFERROR('Planilla (Religión)'!G49,""))</f>
        <v/>
      </c>
      <c r="I77" s="90" t="str">
        <f>IF(MAESTRO!B85="","",IFERROR('Planilla (E. Artisticas)'!G49,""))</f>
        <v/>
      </c>
      <c r="J77" s="90" t="str">
        <f>IF(MAESTRO!M85="","",IFERROR('Planilla (Tecnologia)'!G49,""))</f>
        <v/>
      </c>
      <c r="K77" s="90" t="str">
        <f>IF(MAESTRO!N85="","",IFERROR('Planilla (E. Fisica)'!G49,""))</f>
        <v/>
      </c>
      <c r="L77" s="90"/>
    </row>
    <row r="78" spans="1:12">
      <c r="A78" s="87">
        <v>35</v>
      </c>
      <c r="B78" s="88" t="str">
        <f>IF(MAESTRO!B86="","",MAESTRO!B86)</f>
        <v/>
      </c>
      <c r="C78" s="89" t="str">
        <f>IF(MAESTRO!F86="","",IFERROR('Planilla (Ingles) '!G50,""))</f>
        <v/>
      </c>
      <c r="D78" s="89" t="str">
        <f>IF(MAESTRO!I86="","",IFERROR('Planilla (Español)'!G50,""))</f>
        <v/>
      </c>
      <c r="E78" s="89" t="str">
        <f>IF(MAESTRO!M86="","",IFERROR('Planilla (Matematica)'!G50,""))</f>
        <v/>
      </c>
      <c r="F78" s="89" t="str">
        <f>IF(MAESTRO!Q86="","",IFERROR('Planilla (C. Sociales)'!G50,""))</f>
        <v/>
      </c>
      <c r="G78" s="89" t="str">
        <f>IF(MAESTRO!B86="","",IFERROR('Planilla (C. Naturales)'!G50,""))</f>
        <v/>
      </c>
      <c r="H78" s="89" t="str">
        <f>IF(MAESTRO!F86="","",IFERROR('Planilla (Religión)'!G50,""))</f>
        <v/>
      </c>
      <c r="I78" s="89" t="str">
        <f>IF(MAESTRO!B86="","",IFERROR('Planilla (E. Artisticas)'!G50,""))</f>
        <v/>
      </c>
      <c r="J78" s="89" t="str">
        <f>IF(MAESTRO!M86="","",IFERROR('Planilla (Tecnologia)'!G50,""))</f>
        <v/>
      </c>
      <c r="K78" s="89" t="str">
        <f>IF(MAESTRO!N86="","",IFERROR('Planilla (E. Fisica)'!G50,""))</f>
        <v/>
      </c>
      <c r="L78" s="89"/>
    </row>
    <row r="79" spans="1:12">
      <c r="A79" s="98" t="s">
        <v>116</v>
      </c>
      <c r="B79" s="99"/>
      <c r="C79" s="91" t="str">
        <f t="shared" ref="C79:K79" si="1">IFERROR(ROUND(AVERAGEIF(C44:C78,"&lt;&gt;"&amp;""),1),"")</f>
        <v/>
      </c>
      <c r="D79" s="91" t="str">
        <f t="shared" si="1"/>
        <v/>
      </c>
      <c r="E79" s="91" t="str">
        <f t="shared" si="1"/>
        <v/>
      </c>
      <c r="F79" s="91" t="str">
        <f t="shared" si="1"/>
        <v/>
      </c>
      <c r="G79" s="91" t="str">
        <f t="shared" si="1"/>
        <v/>
      </c>
      <c r="H79" s="91" t="str">
        <f t="shared" si="1"/>
        <v/>
      </c>
      <c r="I79" s="91" t="str">
        <f t="shared" si="1"/>
        <v/>
      </c>
      <c r="J79" s="91" t="str">
        <f t="shared" si="1"/>
        <v/>
      </c>
      <c r="K79" s="91" t="str">
        <f t="shared" si="1"/>
        <v/>
      </c>
      <c r="L79" s="91"/>
    </row>
    <row r="83" spans="1:12">
      <c r="A83" s="100" t="s">
        <v>156</v>
      </c>
      <c r="B83" s="101"/>
      <c r="C83" s="101"/>
      <c r="D83" s="101"/>
      <c r="E83" s="101"/>
      <c r="F83" s="101"/>
      <c r="G83" s="101"/>
      <c r="H83" s="101"/>
      <c r="I83" s="101"/>
      <c r="J83" s="101"/>
      <c r="K83" s="101"/>
      <c r="L83" s="101"/>
    </row>
    <row r="84" spans="1:12" ht="66" customHeight="1">
      <c r="A84" s="104" t="s">
        <v>109</v>
      </c>
      <c r="B84" s="104" t="s">
        <v>110</v>
      </c>
      <c r="C84" s="96" t="s">
        <v>129</v>
      </c>
      <c r="D84" s="96" t="s">
        <v>143</v>
      </c>
      <c r="E84" s="96" t="s">
        <v>144</v>
      </c>
      <c r="F84" s="96" t="s">
        <v>145</v>
      </c>
      <c r="G84" s="96" t="s">
        <v>146</v>
      </c>
      <c r="H84" s="96" t="s">
        <v>151</v>
      </c>
      <c r="I84" s="96" t="s">
        <v>152</v>
      </c>
      <c r="J84" s="96" t="s">
        <v>149</v>
      </c>
      <c r="K84" s="96" t="s">
        <v>153</v>
      </c>
      <c r="L84" s="102" t="s">
        <v>114</v>
      </c>
    </row>
    <row r="85" spans="1:12">
      <c r="A85" s="105"/>
      <c r="B85" s="105"/>
      <c r="C85" s="84" t="s">
        <v>115</v>
      </c>
      <c r="D85" s="84" t="s">
        <v>115</v>
      </c>
      <c r="E85" s="84" t="s">
        <v>115</v>
      </c>
      <c r="F85" s="84" t="s">
        <v>115</v>
      </c>
      <c r="G85" s="84" t="s">
        <v>115</v>
      </c>
      <c r="H85" s="84" t="s">
        <v>115</v>
      </c>
      <c r="I85" s="84" t="s">
        <v>115</v>
      </c>
      <c r="J85" s="84" t="s">
        <v>115</v>
      </c>
      <c r="K85" s="84" t="s">
        <v>115</v>
      </c>
      <c r="L85" s="103"/>
    </row>
    <row r="86" spans="1:12">
      <c r="A86" s="87">
        <v>1</v>
      </c>
      <c r="B86" s="88" t="str">
        <f>IF(MAESTRO!B94="","",MAESTRO!B94)</f>
        <v/>
      </c>
      <c r="C86" s="89" t="str">
        <f>IF(MAESTRO!F94="","",IFERROR('Planilla (Ingles) '!H16,""))</f>
        <v/>
      </c>
      <c r="D86" s="89" t="str">
        <f>IF(MAESTRO!I94="","",IFERROR('Planilla (Español)'!H16,""))</f>
        <v/>
      </c>
      <c r="E86" s="89" t="str">
        <f>IF(MAESTRO!M94="","",IFERROR('Planilla (Matematica)'!H16,""))</f>
        <v/>
      </c>
      <c r="F86" s="89" t="str">
        <f>IF(MAESTRO!Q94="","",IFERROR('Planilla (C. Sociales)'!H16,""))</f>
        <v/>
      </c>
      <c r="G86" s="89" t="str">
        <f>IF(MAESTRO!B94="","",IFERROR('Planilla (C. Naturales)'!H16,""))</f>
        <v/>
      </c>
      <c r="H86" s="89" t="str">
        <f>IF(MAESTRO!F94="","",IFERROR('Planilla (Religión)'!H16,""))</f>
        <v/>
      </c>
      <c r="I86" s="89" t="str">
        <f>IF(MAESTRO!B94="","",IFERROR('Planilla (E. Artisticas)'!H16,""))</f>
        <v/>
      </c>
      <c r="J86" s="89" t="str">
        <f>IF(MAESTRO!M94="","",IFERROR('Planilla (Tecnologia)'!H16,""))</f>
        <v/>
      </c>
      <c r="K86" s="89" t="str">
        <f>IF(MAESTRO!N94="","",IFERROR('Planilla (E. Fisica)'!H16,""))</f>
        <v/>
      </c>
      <c r="L86" s="89"/>
    </row>
    <row r="87" spans="1:12">
      <c r="A87" s="85">
        <v>2</v>
      </c>
      <c r="B87" s="86" t="str">
        <f>IF(MAESTRO!B95="","",MAESTRO!B95)</f>
        <v/>
      </c>
      <c r="C87" s="90" t="str">
        <f>IF(MAESTRO!F95="","",IFERROR('Planilla (Ingles) '!H17,""))</f>
        <v/>
      </c>
      <c r="D87" s="90" t="str">
        <f>IF(MAESTRO!I95="","",IFERROR('Planilla (Español)'!H17,""))</f>
        <v/>
      </c>
      <c r="E87" s="90" t="str">
        <f>IF(MAESTRO!M95="","",IFERROR('Planilla (Matematica)'!H17,""))</f>
        <v/>
      </c>
      <c r="F87" s="90" t="str">
        <f>IF(MAESTRO!Q95="","",IFERROR('Planilla (C. Sociales)'!H17,""))</f>
        <v/>
      </c>
      <c r="G87" s="90" t="str">
        <f>IF(MAESTRO!B95="","",IFERROR('Planilla (C. Naturales)'!H17,""))</f>
        <v/>
      </c>
      <c r="H87" s="90" t="str">
        <f>IF(MAESTRO!F95="","",IFERROR('Planilla (Religión)'!H17,""))</f>
        <v/>
      </c>
      <c r="I87" s="90" t="str">
        <f>IF(MAESTRO!B95="","",IFERROR('Planilla (E. Artisticas)'!H17,""))</f>
        <v/>
      </c>
      <c r="J87" s="90" t="str">
        <f>IF(MAESTRO!M95="","",IFERROR('Planilla (Tecnologia)'!H17,""))</f>
        <v/>
      </c>
      <c r="K87" s="90" t="str">
        <f>IF(MAESTRO!N95="","",IFERROR('Planilla (E. Fisica)'!H17,""))</f>
        <v/>
      </c>
      <c r="L87" s="90"/>
    </row>
    <row r="88" spans="1:12">
      <c r="A88" s="87">
        <v>3</v>
      </c>
      <c r="B88" s="88" t="str">
        <f>IF(MAESTRO!B96="","",MAESTRO!B96)</f>
        <v/>
      </c>
      <c r="C88" s="89" t="str">
        <f>IF(MAESTRO!F96="","",IFERROR('Planilla (Ingles) '!H18,""))</f>
        <v/>
      </c>
      <c r="D88" s="89" t="str">
        <f>IF(MAESTRO!I96="","",IFERROR('Planilla (Español)'!H18,""))</f>
        <v/>
      </c>
      <c r="E88" s="89" t="str">
        <f>IF(MAESTRO!M96="","",IFERROR('Planilla (Matematica)'!H18,""))</f>
        <v/>
      </c>
      <c r="F88" s="89" t="str">
        <f>IF(MAESTRO!Q96="","",IFERROR('Planilla (C. Sociales)'!H18,""))</f>
        <v/>
      </c>
      <c r="G88" s="89" t="str">
        <f>IF(MAESTRO!B96="","",IFERROR('Planilla (C. Naturales)'!H18,""))</f>
        <v/>
      </c>
      <c r="H88" s="89" t="str">
        <f>IF(MAESTRO!F96="","",IFERROR('Planilla (Religión)'!H18,""))</f>
        <v/>
      </c>
      <c r="I88" s="89" t="str">
        <f>IF(MAESTRO!B96="","",IFERROR('Planilla (E. Artisticas)'!H18,""))</f>
        <v/>
      </c>
      <c r="J88" s="89" t="str">
        <f>IF(MAESTRO!M96="","",IFERROR('Planilla (Tecnologia)'!H18,""))</f>
        <v/>
      </c>
      <c r="K88" s="89" t="str">
        <f>IF(MAESTRO!N96="","",IFERROR('Planilla (E. Fisica)'!H18,""))</f>
        <v/>
      </c>
      <c r="L88" s="89"/>
    </row>
    <row r="89" spans="1:12">
      <c r="A89" s="85">
        <v>4</v>
      </c>
      <c r="B89" s="86" t="str">
        <f>IF(MAESTRO!B97="","",MAESTRO!B97)</f>
        <v/>
      </c>
      <c r="C89" s="90" t="str">
        <f>IF(MAESTRO!F97="","",IFERROR('Planilla (Ingles) '!H19,""))</f>
        <v/>
      </c>
      <c r="D89" s="90" t="str">
        <f>IF(MAESTRO!I97="","",IFERROR('Planilla (Español)'!H19,""))</f>
        <v/>
      </c>
      <c r="E89" s="90" t="str">
        <f>IF(MAESTRO!M97="","",IFERROR('Planilla (Matematica)'!H19,""))</f>
        <v/>
      </c>
      <c r="F89" s="90" t="str">
        <f>IF(MAESTRO!Q97="","",IFERROR('Planilla (C. Sociales)'!H19,""))</f>
        <v/>
      </c>
      <c r="G89" s="90" t="str">
        <f>IF(MAESTRO!B97="","",IFERROR('Planilla (C. Naturales)'!H19,""))</f>
        <v/>
      </c>
      <c r="H89" s="90" t="str">
        <f>IF(MAESTRO!F97="","",IFERROR('Planilla (Religión)'!H19,""))</f>
        <v/>
      </c>
      <c r="I89" s="90" t="str">
        <f>IF(MAESTRO!B97="","",IFERROR('Planilla (E. Artisticas)'!H19,""))</f>
        <v/>
      </c>
      <c r="J89" s="90" t="str">
        <f>IF(MAESTRO!M97="","",IFERROR('Planilla (Tecnologia)'!H19,""))</f>
        <v/>
      </c>
      <c r="K89" s="90" t="str">
        <f>IF(MAESTRO!N97="","",IFERROR('Planilla (E. Fisica)'!H19,""))</f>
        <v/>
      </c>
      <c r="L89" s="90"/>
    </row>
    <row r="90" spans="1:12">
      <c r="A90" s="87">
        <v>5</v>
      </c>
      <c r="B90" s="88" t="str">
        <f>IF(MAESTRO!B98="","",MAESTRO!B98)</f>
        <v/>
      </c>
      <c r="C90" s="89" t="str">
        <f>IF(MAESTRO!F98="","",IFERROR('Planilla (Ingles) '!H20,""))</f>
        <v/>
      </c>
      <c r="D90" s="89" t="str">
        <f>IF(MAESTRO!I98="","",IFERROR('Planilla (Español)'!H20,""))</f>
        <v/>
      </c>
      <c r="E90" s="89" t="str">
        <f>IF(MAESTRO!M98="","",IFERROR('Planilla (Matematica)'!H20,""))</f>
        <v/>
      </c>
      <c r="F90" s="89" t="str">
        <f>IF(MAESTRO!Q98="","",IFERROR('Planilla (C. Sociales)'!H20,""))</f>
        <v/>
      </c>
      <c r="G90" s="89" t="str">
        <f>IF(MAESTRO!B98="","",IFERROR('Planilla (C. Naturales)'!H20,""))</f>
        <v/>
      </c>
      <c r="H90" s="89" t="str">
        <f>IF(MAESTRO!F98="","",IFERROR('Planilla (Religión)'!H20,""))</f>
        <v/>
      </c>
      <c r="I90" s="89" t="str">
        <f>IF(MAESTRO!B98="","",IFERROR('Planilla (E. Artisticas)'!H20,""))</f>
        <v/>
      </c>
      <c r="J90" s="89" t="str">
        <f>IF(MAESTRO!M98="","",IFERROR('Planilla (Tecnologia)'!H20,""))</f>
        <v/>
      </c>
      <c r="K90" s="89" t="str">
        <f>IF(MAESTRO!N98="","",IFERROR('Planilla (E. Fisica)'!H20,""))</f>
        <v/>
      </c>
      <c r="L90" s="89"/>
    </row>
    <row r="91" spans="1:12">
      <c r="A91" s="85">
        <v>6</v>
      </c>
      <c r="B91" s="86" t="str">
        <f>IF(MAESTRO!B99="","",MAESTRO!B99)</f>
        <v/>
      </c>
      <c r="C91" s="90" t="str">
        <f>IF(MAESTRO!F99="","",IFERROR('Planilla (Ingles) '!H21,""))</f>
        <v/>
      </c>
      <c r="D91" s="90" t="str">
        <f>IF(MAESTRO!I99="","",IFERROR('Planilla (Español)'!H21,""))</f>
        <v/>
      </c>
      <c r="E91" s="90" t="str">
        <f>IF(MAESTRO!M99="","",IFERROR('Planilla (Matematica)'!H21,""))</f>
        <v/>
      </c>
      <c r="F91" s="90" t="str">
        <f>IF(MAESTRO!Q99="","",IFERROR('Planilla (C. Sociales)'!H21,""))</f>
        <v/>
      </c>
      <c r="G91" s="90" t="str">
        <f>IF(MAESTRO!B99="","",IFERROR('Planilla (C. Naturales)'!H21,""))</f>
        <v/>
      </c>
      <c r="H91" s="90" t="str">
        <f>IF(MAESTRO!F99="","",IFERROR('Planilla (Religión)'!H21,""))</f>
        <v/>
      </c>
      <c r="I91" s="90" t="str">
        <f>IF(MAESTRO!B99="","",IFERROR('Planilla (E. Artisticas)'!H21,""))</f>
        <v/>
      </c>
      <c r="J91" s="90" t="str">
        <f>IF(MAESTRO!M99="","",IFERROR('Planilla (Tecnologia)'!H21,""))</f>
        <v/>
      </c>
      <c r="K91" s="90" t="str">
        <f>IF(MAESTRO!N99="","",IFERROR('Planilla (E. Fisica)'!H21,""))</f>
        <v/>
      </c>
      <c r="L91" s="90"/>
    </row>
    <row r="92" spans="1:12">
      <c r="A92" s="87">
        <v>7</v>
      </c>
      <c r="B92" s="88" t="str">
        <f>IF(MAESTRO!B100="","",MAESTRO!B100)</f>
        <v/>
      </c>
      <c r="C92" s="89" t="str">
        <f>IF(MAESTRO!F100="","",IFERROR('Planilla (Ingles) '!H22,""))</f>
        <v/>
      </c>
      <c r="D92" s="89" t="str">
        <f>IF(MAESTRO!I100="","",IFERROR('Planilla (Español)'!H22,""))</f>
        <v/>
      </c>
      <c r="E92" s="89" t="str">
        <f>IF(MAESTRO!M100="","",IFERROR('Planilla (Matematica)'!H22,""))</f>
        <v/>
      </c>
      <c r="F92" s="89" t="str">
        <f>IF(MAESTRO!Q100="","",IFERROR('Planilla (C. Sociales)'!H22,""))</f>
        <v/>
      </c>
      <c r="G92" s="89" t="str">
        <f>IF(MAESTRO!B100="","",IFERROR('Planilla (C. Naturales)'!H22,""))</f>
        <v/>
      </c>
      <c r="H92" s="89" t="str">
        <f>IF(MAESTRO!F100="","",IFERROR('Planilla (Religión)'!H22,""))</f>
        <v/>
      </c>
      <c r="I92" s="89" t="str">
        <f>IF(MAESTRO!B100="","",IFERROR('Planilla (E. Artisticas)'!H22,""))</f>
        <v/>
      </c>
      <c r="J92" s="89" t="str">
        <f>IF(MAESTRO!M100="","",IFERROR('Planilla (Tecnologia)'!H22,""))</f>
        <v/>
      </c>
      <c r="K92" s="89" t="str">
        <f>IF(MAESTRO!N100="","",IFERROR('Planilla (E. Fisica)'!H22,""))</f>
        <v/>
      </c>
      <c r="L92" s="89"/>
    </row>
    <row r="93" spans="1:12">
      <c r="A93" s="85">
        <v>8</v>
      </c>
      <c r="B93" s="86" t="str">
        <f>IF(MAESTRO!B101="","",MAESTRO!B101)</f>
        <v/>
      </c>
      <c r="C93" s="90" t="str">
        <f>IF(MAESTRO!F101="","",IFERROR('Planilla (Ingles) '!H23,""))</f>
        <v/>
      </c>
      <c r="D93" s="90" t="str">
        <f>IF(MAESTRO!I101="","",IFERROR('Planilla (Español)'!H23,""))</f>
        <v/>
      </c>
      <c r="E93" s="90" t="str">
        <f>IF(MAESTRO!M101="","",IFERROR('Planilla (Matematica)'!H23,""))</f>
        <v/>
      </c>
      <c r="F93" s="90" t="str">
        <f>IF(MAESTRO!Q101="","",IFERROR('Planilla (C. Sociales)'!H23,""))</f>
        <v/>
      </c>
      <c r="G93" s="90" t="str">
        <f>IF(MAESTRO!B101="","",IFERROR('Planilla (C. Naturales)'!H23,""))</f>
        <v/>
      </c>
      <c r="H93" s="90" t="str">
        <f>IF(MAESTRO!F101="","",IFERROR('Planilla (Religión)'!H23,""))</f>
        <v/>
      </c>
      <c r="I93" s="90" t="str">
        <f>IF(MAESTRO!B101="","",IFERROR('Planilla (E. Artisticas)'!H23,""))</f>
        <v/>
      </c>
      <c r="J93" s="90" t="str">
        <f>IF(MAESTRO!M101="","",IFERROR('Planilla (Tecnologia)'!H23,""))</f>
        <v/>
      </c>
      <c r="K93" s="90" t="str">
        <f>IF(MAESTRO!N101="","",IFERROR('Planilla (E. Fisica)'!H23,""))</f>
        <v/>
      </c>
      <c r="L93" s="90"/>
    </row>
    <row r="94" spans="1:12">
      <c r="A94" s="87">
        <v>9</v>
      </c>
      <c r="B94" s="88" t="str">
        <f>IF(MAESTRO!B102="","",MAESTRO!B102)</f>
        <v/>
      </c>
      <c r="C94" s="89" t="str">
        <f>IF(MAESTRO!F102="","",IFERROR('Planilla (Ingles) '!H24,""))</f>
        <v/>
      </c>
      <c r="D94" s="89" t="str">
        <f>IF(MAESTRO!I102="","",IFERROR('Planilla (Español)'!H24,""))</f>
        <v/>
      </c>
      <c r="E94" s="89" t="str">
        <f>IF(MAESTRO!M102="","",IFERROR('Planilla (Matematica)'!H24,""))</f>
        <v/>
      </c>
      <c r="F94" s="89" t="str">
        <f>IF(MAESTRO!Q102="","",IFERROR('Planilla (C. Sociales)'!H24,""))</f>
        <v/>
      </c>
      <c r="G94" s="89" t="str">
        <f>IF(MAESTRO!B102="","",IFERROR('Planilla (C. Naturales)'!H24,""))</f>
        <v/>
      </c>
      <c r="H94" s="89" t="str">
        <f>IF(MAESTRO!F102="","",IFERROR('Planilla (Religión)'!H24,""))</f>
        <v/>
      </c>
      <c r="I94" s="89" t="str">
        <f>IF(MAESTRO!B102="","",IFERROR('Planilla (E. Artisticas)'!H24,""))</f>
        <v/>
      </c>
      <c r="J94" s="89" t="str">
        <f>IF(MAESTRO!M102="","",IFERROR('Planilla (Tecnologia)'!H24,""))</f>
        <v/>
      </c>
      <c r="K94" s="89" t="str">
        <f>IF(MAESTRO!N102="","",IFERROR('Planilla (E. Fisica)'!H24,""))</f>
        <v/>
      </c>
      <c r="L94" s="89"/>
    </row>
    <row r="95" spans="1:12">
      <c r="A95" s="85">
        <v>10</v>
      </c>
      <c r="B95" s="86" t="str">
        <f>IF(MAESTRO!B103="","",MAESTRO!B103)</f>
        <v/>
      </c>
      <c r="C95" s="90" t="str">
        <f>IF(MAESTRO!F103="","",IFERROR('Planilla (Ingles) '!H25,""))</f>
        <v/>
      </c>
      <c r="D95" s="90" t="str">
        <f>IF(MAESTRO!I103="","",IFERROR('Planilla (Español)'!H25,""))</f>
        <v/>
      </c>
      <c r="E95" s="90" t="str">
        <f>IF(MAESTRO!M103="","",IFERROR('Planilla (Matematica)'!H25,""))</f>
        <v/>
      </c>
      <c r="F95" s="90" t="str">
        <f>IF(MAESTRO!Q103="","",IFERROR('Planilla (C. Sociales)'!H25,""))</f>
        <v/>
      </c>
      <c r="G95" s="90" t="str">
        <f>IF(MAESTRO!B103="","",IFERROR('Planilla (C. Naturales)'!H25,""))</f>
        <v/>
      </c>
      <c r="H95" s="90" t="str">
        <f>IF(MAESTRO!F103="","",IFERROR('Planilla (Religión)'!H25,""))</f>
        <v/>
      </c>
      <c r="I95" s="90" t="str">
        <f>IF(MAESTRO!B103="","",IFERROR('Planilla (E. Artisticas)'!H25,""))</f>
        <v/>
      </c>
      <c r="J95" s="90" t="str">
        <f>IF(MAESTRO!M103="","",IFERROR('Planilla (Tecnologia)'!H25,""))</f>
        <v/>
      </c>
      <c r="K95" s="90" t="str">
        <f>IF(MAESTRO!N103="","",IFERROR('Planilla (E. Fisica)'!H25,""))</f>
        <v/>
      </c>
      <c r="L95" s="90"/>
    </row>
    <row r="96" spans="1:12">
      <c r="A96" s="87">
        <v>11</v>
      </c>
      <c r="B96" s="88" t="str">
        <f>IF(MAESTRO!B104="","",MAESTRO!B104)</f>
        <v/>
      </c>
      <c r="C96" s="89" t="str">
        <f>IF(MAESTRO!F104="","",IFERROR('Planilla (Ingles) '!H26,""))</f>
        <v/>
      </c>
      <c r="D96" s="89" t="str">
        <f>IF(MAESTRO!I104="","",IFERROR('Planilla (Español)'!H26,""))</f>
        <v/>
      </c>
      <c r="E96" s="89" t="str">
        <f>IF(MAESTRO!M104="","",IFERROR('Planilla (Matematica)'!H26,""))</f>
        <v/>
      </c>
      <c r="F96" s="89" t="str">
        <f>IF(MAESTRO!Q104="","",IFERROR('Planilla (C. Sociales)'!H26,""))</f>
        <v/>
      </c>
      <c r="G96" s="89" t="str">
        <f>IF(MAESTRO!B104="","",IFERROR('Planilla (C. Naturales)'!H26,""))</f>
        <v/>
      </c>
      <c r="H96" s="89" t="str">
        <f>IF(MAESTRO!F104="","",IFERROR('Planilla (Religión)'!H26,""))</f>
        <v/>
      </c>
      <c r="I96" s="89" t="str">
        <f>IF(MAESTRO!B104="","",IFERROR('Planilla (E. Artisticas)'!H26,""))</f>
        <v/>
      </c>
      <c r="J96" s="89" t="str">
        <f>IF(MAESTRO!M104="","",IFERROR('Planilla (Tecnologia)'!H26,""))</f>
        <v/>
      </c>
      <c r="K96" s="89" t="str">
        <f>IF(MAESTRO!N104="","",IFERROR('Planilla (E. Fisica)'!H26,""))</f>
        <v/>
      </c>
      <c r="L96" s="89"/>
    </row>
    <row r="97" spans="1:12">
      <c r="A97" s="85">
        <v>12</v>
      </c>
      <c r="B97" s="86" t="str">
        <f>IF(MAESTRO!B105="","",MAESTRO!B105)</f>
        <v/>
      </c>
      <c r="C97" s="90" t="str">
        <f>IF(MAESTRO!F105="","",IFERROR('Planilla (Ingles) '!H27,""))</f>
        <v/>
      </c>
      <c r="D97" s="90" t="str">
        <f>IF(MAESTRO!I105="","",IFERROR('Planilla (Español)'!H27,""))</f>
        <v/>
      </c>
      <c r="E97" s="90" t="str">
        <f>IF(MAESTRO!M105="","",IFERROR('Planilla (Matematica)'!H27,""))</f>
        <v/>
      </c>
      <c r="F97" s="90" t="str">
        <f>IF(MAESTRO!Q105="","",IFERROR('Planilla (C. Sociales)'!H27,""))</f>
        <v/>
      </c>
      <c r="G97" s="90" t="str">
        <f>IF(MAESTRO!B105="","",IFERROR('Planilla (C. Naturales)'!H27,""))</f>
        <v/>
      </c>
      <c r="H97" s="90" t="str">
        <f>IF(MAESTRO!F105="","",IFERROR('Planilla (Religión)'!H27,""))</f>
        <v/>
      </c>
      <c r="I97" s="90" t="str">
        <f>IF(MAESTRO!B105="","",IFERROR('Planilla (E. Artisticas)'!H27,""))</f>
        <v/>
      </c>
      <c r="J97" s="90" t="str">
        <f>IF(MAESTRO!M105="","",IFERROR('Planilla (Tecnologia)'!H27,""))</f>
        <v/>
      </c>
      <c r="K97" s="90" t="str">
        <f>IF(MAESTRO!N105="","",IFERROR('Planilla (E. Fisica)'!H27,""))</f>
        <v/>
      </c>
      <c r="L97" s="90"/>
    </row>
    <row r="98" spans="1:12">
      <c r="A98" s="87">
        <v>13</v>
      </c>
      <c r="B98" s="88" t="str">
        <f>IF(MAESTRO!B106="","",MAESTRO!B106)</f>
        <v/>
      </c>
      <c r="C98" s="89" t="str">
        <f>IF(MAESTRO!F106="","",IFERROR('Planilla (Ingles) '!H28,""))</f>
        <v/>
      </c>
      <c r="D98" s="89" t="str">
        <f>IF(MAESTRO!I106="","",IFERROR('Planilla (Español)'!H28,""))</f>
        <v/>
      </c>
      <c r="E98" s="89" t="str">
        <f>IF(MAESTRO!M106="","",IFERROR('Planilla (Matematica)'!H28,""))</f>
        <v/>
      </c>
      <c r="F98" s="89" t="str">
        <f>IF(MAESTRO!Q106="","",IFERROR('Planilla (C. Sociales)'!H28,""))</f>
        <v/>
      </c>
      <c r="G98" s="89" t="str">
        <f>IF(MAESTRO!B106="","",IFERROR('Planilla (C. Naturales)'!H28,""))</f>
        <v/>
      </c>
      <c r="H98" s="89" t="str">
        <f>IF(MAESTRO!F106="","",IFERROR('Planilla (Religión)'!H28,""))</f>
        <v/>
      </c>
      <c r="I98" s="89" t="str">
        <f>IF(MAESTRO!B106="","",IFERROR('Planilla (E. Artisticas)'!H28,""))</f>
        <v/>
      </c>
      <c r="J98" s="89" t="str">
        <f>IF(MAESTRO!M106="","",IFERROR('Planilla (Tecnologia)'!H28,""))</f>
        <v/>
      </c>
      <c r="K98" s="89" t="str">
        <f>IF(MAESTRO!N106="","",IFERROR('Planilla (E. Fisica)'!H28,""))</f>
        <v/>
      </c>
      <c r="L98" s="89"/>
    </row>
    <row r="99" spans="1:12">
      <c r="A99" s="85">
        <v>14</v>
      </c>
      <c r="B99" s="86" t="str">
        <f>IF(MAESTRO!B107="","",MAESTRO!B107)</f>
        <v/>
      </c>
      <c r="C99" s="90" t="str">
        <f>IF(MAESTRO!F107="","",IFERROR('Planilla (Ingles) '!H29,""))</f>
        <v/>
      </c>
      <c r="D99" s="90" t="str">
        <f>IF(MAESTRO!I107="","",IFERROR('Planilla (Español)'!H29,""))</f>
        <v/>
      </c>
      <c r="E99" s="90" t="str">
        <f>IF(MAESTRO!M107="","",IFERROR('Planilla (Matematica)'!H29,""))</f>
        <v/>
      </c>
      <c r="F99" s="90" t="str">
        <f>IF(MAESTRO!Q107="","",IFERROR('Planilla (C. Sociales)'!H29,""))</f>
        <v/>
      </c>
      <c r="G99" s="90" t="str">
        <f>IF(MAESTRO!B107="","",IFERROR('Planilla (C. Naturales)'!H29,""))</f>
        <v/>
      </c>
      <c r="H99" s="90" t="str">
        <f>IF(MAESTRO!F107="","",IFERROR('Planilla (Religión)'!H29,""))</f>
        <v/>
      </c>
      <c r="I99" s="90" t="str">
        <f>IF(MAESTRO!B107="","",IFERROR('Planilla (E. Artisticas)'!H29,""))</f>
        <v/>
      </c>
      <c r="J99" s="90" t="str">
        <f>IF(MAESTRO!M107="","",IFERROR('Planilla (Tecnologia)'!H29,""))</f>
        <v/>
      </c>
      <c r="K99" s="90" t="str">
        <f>IF(MAESTRO!N107="","",IFERROR('Planilla (E. Fisica)'!H29,""))</f>
        <v/>
      </c>
      <c r="L99" s="90"/>
    </row>
    <row r="100" spans="1:12">
      <c r="A100" s="87">
        <v>15</v>
      </c>
      <c r="B100" s="88" t="str">
        <f>IF(MAESTRO!B108="","",MAESTRO!B108)</f>
        <v/>
      </c>
      <c r="C100" s="89" t="str">
        <f>IF(MAESTRO!F108="","",IFERROR('Planilla (Ingles) '!H30,""))</f>
        <v/>
      </c>
      <c r="D100" s="89" t="str">
        <f>IF(MAESTRO!I108="","",IFERROR('Planilla (Español)'!H30,""))</f>
        <v/>
      </c>
      <c r="E100" s="89" t="str">
        <f>IF(MAESTRO!M108="","",IFERROR('Planilla (Matematica)'!H30,""))</f>
        <v/>
      </c>
      <c r="F100" s="89" t="str">
        <f>IF(MAESTRO!Q108="","",IFERROR('Planilla (C. Sociales)'!H30,""))</f>
        <v/>
      </c>
      <c r="G100" s="89" t="str">
        <f>IF(MAESTRO!B108="","",IFERROR('Planilla (C. Naturales)'!H30,""))</f>
        <v/>
      </c>
      <c r="H100" s="89" t="str">
        <f>IF(MAESTRO!F108="","",IFERROR('Planilla (Religión)'!H30,""))</f>
        <v/>
      </c>
      <c r="I100" s="89" t="str">
        <f>IF(MAESTRO!B108="","",IFERROR('Planilla (E. Artisticas)'!H30,""))</f>
        <v/>
      </c>
      <c r="J100" s="89" t="str">
        <f>IF(MAESTRO!M108="","",IFERROR('Planilla (Tecnologia)'!H30,""))</f>
        <v/>
      </c>
      <c r="K100" s="89" t="str">
        <f>IF(MAESTRO!N108="","",IFERROR('Planilla (E. Fisica)'!H30,""))</f>
        <v/>
      </c>
      <c r="L100" s="89"/>
    </row>
    <row r="101" spans="1:12">
      <c r="A101" s="85">
        <v>16</v>
      </c>
      <c r="B101" s="86" t="str">
        <f>IF(MAESTRO!B109="","",MAESTRO!B109)</f>
        <v/>
      </c>
      <c r="C101" s="90" t="str">
        <f>IF(MAESTRO!F109="","",IFERROR('Planilla (Ingles) '!H31,""))</f>
        <v/>
      </c>
      <c r="D101" s="90" t="str">
        <f>IF(MAESTRO!I109="","",IFERROR('Planilla (Español)'!H31,""))</f>
        <v/>
      </c>
      <c r="E101" s="90" t="str">
        <f>IF(MAESTRO!M109="","",IFERROR('Planilla (Matematica)'!H31,""))</f>
        <v/>
      </c>
      <c r="F101" s="90" t="str">
        <f>IF(MAESTRO!Q109="","",IFERROR('Planilla (C. Sociales)'!H31,""))</f>
        <v/>
      </c>
      <c r="G101" s="90" t="str">
        <f>IF(MAESTRO!B109="","",IFERROR('Planilla (C. Naturales)'!H31,""))</f>
        <v/>
      </c>
      <c r="H101" s="90" t="str">
        <f>IF(MAESTRO!F109="","",IFERROR('Planilla (Religión)'!H31,""))</f>
        <v/>
      </c>
      <c r="I101" s="90" t="str">
        <f>IF(MAESTRO!B109="","",IFERROR('Planilla (E. Artisticas)'!H31,""))</f>
        <v/>
      </c>
      <c r="J101" s="90" t="str">
        <f>IF(MAESTRO!M109="","",IFERROR('Planilla (Tecnologia)'!H31,""))</f>
        <v/>
      </c>
      <c r="K101" s="90" t="str">
        <f>IF(MAESTRO!N109="","",IFERROR('Planilla (E. Fisica)'!H31,""))</f>
        <v/>
      </c>
      <c r="L101" s="90"/>
    </row>
    <row r="102" spans="1:12">
      <c r="A102" s="87">
        <v>17</v>
      </c>
      <c r="B102" s="88" t="str">
        <f>IF(MAESTRO!B110="","",MAESTRO!B110)</f>
        <v/>
      </c>
      <c r="C102" s="89" t="str">
        <f>IF(MAESTRO!F110="","",IFERROR('Planilla (Ingles) '!H32,""))</f>
        <v/>
      </c>
      <c r="D102" s="89" t="str">
        <f>IF(MAESTRO!I110="","",IFERROR('Planilla (Español)'!H32,""))</f>
        <v/>
      </c>
      <c r="E102" s="89" t="str">
        <f>IF(MAESTRO!M110="","",IFERROR('Planilla (Matematica)'!H32,""))</f>
        <v/>
      </c>
      <c r="F102" s="89" t="str">
        <f>IF(MAESTRO!Q110="","",IFERROR('Planilla (C. Sociales)'!H32,""))</f>
        <v/>
      </c>
      <c r="G102" s="89" t="str">
        <f>IF(MAESTRO!B110="","",IFERROR('Planilla (C. Naturales)'!H32,""))</f>
        <v/>
      </c>
      <c r="H102" s="89" t="str">
        <f>IF(MAESTRO!F110="","",IFERROR('Planilla (Religión)'!H32,""))</f>
        <v/>
      </c>
      <c r="I102" s="89" t="str">
        <f>IF(MAESTRO!B110="","",IFERROR('Planilla (E. Artisticas)'!H32,""))</f>
        <v/>
      </c>
      <c r="J102" s="89" t="str">
        <f>IF(MAESTRO!M110="","",IFERROR('Planilla (Tecnologia)'!H32,""))</f>
        <v/>
      </c>
      <c r="K102" s="89" t="str">
        <f>IF(MAESTRO!N110="","",IFERROR('Planilla (E. Fisica)'!H32,""))</f>
        <v/>
      </c>
      <c r="L102" s="89"/>
    </row>
    <row r="103" spans="1:12">
      <c r="A103" s="85">
        <v>18</v>
      </c>
      <c r="B103" s="86" t="str">
        <f>IF(MAESTRO!B111="","",MAESTRO!B111)</f>
        <v/>
      </c>
      <c r="C103" s="90" t="str">
        <f>IF(MAESTRO!F111="","",IFERROR('Planilla (Ingles) '!H33,""))</f>
        <v/>
      </c>
      <c r="D103" s="90" t="str">
        <f>IF(MAESTRO!I111="","",IFERROR('Planilla (Español)'!H33,""))</f>
        <v/>
      </c>
      <c r="E103" s="90" t="str">
        <f>IF(MAESTRO!M111="","",IFERROR('Planilla (Matematica)'!H33,""))</f>
        <v/>
      </c>
      <c r="F103" s="90" t="str">
        <f>IF(MAESTRO!Q111="","",IFERROR('Planilla (C. Sociales)'!H33,""))</f>
        <v/>
      </c>
      <c r="G103" s="90" t="str">
        <f>IF(MAESTRO!B111="","",IFERROR('Planilla (C. Naturales)'!H33,""))</f>
        <v/>
      </c>
      <c r="H103" s="90" t="str">
        <f>IF(MAESTRO!F111="","",IFERROR('Planilla (Religión)'!H33,""))</f>
        <v/>
      </c>
      <c r="I103" s="90" t="str">
        <f>IF(MAESTRO!B111="","",IFERROR('Planilla (E. Artisticas)'!H33,""))</f>
        <v/>
      </c>
      <c r="J103" s="90" t="str">
        <f>IF(MAESTRO!M111="","",IFERROR('Planilla (Tecnologia)'!H33,""))</f>
        <v/>
      </c>
      <c r="K103" s="90" t="str">
        <f>IF(MAESTRO!N111="","",IFERROR('Planilla (E. Fisica)'!H33,""))</f>
        <v/>
      </c>
      <c r="L103" s="90"/>
    </row>
    <row r="104" spans="1:12">
      <c r="A104" s="87">
        <v>19</v>
      </c>
      <c r="B104" s="88" t="str">
        <f>IF(MAESTRO!B112="","",MAESTRO!B112)</f>
        <v/>
      </c>
      <c r="C104" s="89" t="str">
        <f>IF(MAESTRO!F112="","",IFERROR('Planilla (Ingles) '!H34,""))</f>
        <v/>
      </c>
      <c r="D104" s="89" t="str">
        <f>IF(MAESTRO!I112="","",IFERROR('Planilla (Español)'!H34,""))</f>
        <v/>
      </c>
      <c r="E104" s="89" t="str">
        <f>IF(MAESTRO!M112="","",IFERROR('Planilla (Matematica)'!H34,""))</f>
        <v/>
      </c>
      <c r="F104" s="89" t="str">
        <f>IF(MAESTRO!Q112="","",IFERROR('Planilla (C. Sociales)'!H34,""))</f>
        <v/>
      </c>
      <c r="G104" s="89" t="str">
        <f>IF(MAESTRO!B112="","",IFERROR('Planilla (C. Naturales)'!H34,""))</f>
        <v/>
      </c>
      <c r="H104" s="89" t="str">
        <f>IF(MAESTRO!F112="","",IFERROR('Planilla (Religión)'!H34,""))</f>
        <v/>
      </c>
      <c r="I104" s="89" t="str">
        <f>IF(MAESTRO!B112="","",IFERROR('Planilla (E. Artisticas)'!H34,""))</f>
        <v/>
      </c>
      <c r="J104" s="89" t="str">
        <f>IF(MAESTRO!M112="","",IFERROR('Planilla (Tecnologia)'!H34,""))</f>
        <v/>
      </c>
      <c r="K104" s="89" t="str">
        <f>IF(MAESTRO!N112="","",IFERROR('Planilla (E. Fisica)'!H34,""))</f>
        <v/>
      </c>
      <c r="L104" s="89"/>
    </row>
    <row r="105" spans="1:12">
      <c r="A105" s="85">
        <v>20</v>
      </c>
      <c r="B105" s="86" t="str">
        <f>IF(MAESTRO!B113="","",MAESTRO!B113)</f>
        <v/>
      </c>
      <c r="C105" s="90" t="str">
        <f>IF(MAESTRO!F113="","",IFERROR('Planilla (Ingles) '!H35,""))</f>
        <v/>
      </c>
      <c r="D105" s="90" t="str">
        <f>IF(MAESTRO!I113="","",IFERROR('Planilla (Español)'!H35,""))</f>
        <v/>
      </c>
      <c r="E105" s="90" t="str">
        <f>IF(MAESTRO!M113="","",IFERROR('Planilla (Matematica)'!H35,""))</f>
        <v/>
      </c>
      <c r="F105" s="90" t="str">
        <f>IF(MAESTRO!Q113="","",IFERROR('Planilla (C. Sociales)'!H35,""))</f>
        <v/>
      </c>
      <c r="G105" s="90" t="str">
        <f>IF(MAESTRO!B113="","",IFERROR('Planilla (C. Naturales)'!H35,""))</f>
        <v/>
      </c>
      <c r="H105" s="90" t="str">
        <f>IF(MAESTRO!F113="","",IFERROR('Planilla (Religión)'!H35,""))</f>
        <v/>
      </c>
      <c r="I105" s="90" t="str">
        <f>IF(MAESTRO!B113="","",IFERROR('Planilla (E. Artisticas)'!H35,""))</f>
        <v/>
      </c>
      <c r="J105" s="90" t="str">
        <f>IF(MAESTRO!M113="","",IFERROR('Planilla (Tecnologia)'!H35,""))</f>
        <v/>
      </c>
      <c r="K105" s="90" t="str">
        <f>IF(MAESTRO!N113="","",IFERROR('Planilla (E. Fisica)'!H35,""))</f>
        <v/>
      </c>
      <c r="L105" s="90"/>
    </row>
    <row r="106" spans="1:12">
      <c r="A106" s="87">
        <v>21</v>
      </c>
      <c r="B106" s="88" t="str">
        <f>IF(MAESTRO!B114="","",MAESTRO!B114)</f>
        <v/>
      </c>
      <c r="C106" s="89" t="str">
        <f>IF(MAESTRO!F114="","",IFERROR('Planilla (Ingles) '!H36,""))</f>
        <v/>
      </c>
      <c r="D106" s="89" t="str">
        <f>IF(MAESTRO!I114="","",IFERROR('Planilla (Español)'!H36,""))</f>
        <v/>
      </c>
      <c r="E106" s="89" t="str">
        <f>IF(MAESTRO!M114="","",IFERROR('Planilla (Matematica)'!H36,""))</f>
        <v/>
      </c>
      <c r="F106" s="89" t="str">
        <f>IF(MAESTRO!Q114="","",IFERROR('Planilla (C. Sociales)'!H36,""))</f>
        <v/>
      </c>
      <c r="G106" s="89" t="str">
        <f>IF(MAESTRO!B114="","",IFERROR('Planilla (C. Naturales)'!H36,""))</f>
        <v/>
      </c>
      <c r="H106" s="89" t="str">
        <f>IF(MAESTRO!F114="","",IFERROR('Planilla (Religión)'!H36,""))</f>
        <v/>
      </c>
      <c r="I106" s="89" t="str">
        <f>IF(MAESTRO!B114="","",IFERROR('Planilla (E. Artisticas)'!H36,""))</f>
        <v/>
      </c>
      <c r="J106" s="89" t="str">
        <f>IF(MAESTRO!M114="","",IFERROR('Planilla (Tecnologia)'!H36,""))</f>
        <v/>
      </c>
      <c r="K106" s="89" t="str">
        <f>IF(MAESTRO!N114="","",IFERROR('Planilla (E. Fisica)'!H36,""))</f>
        <v/>
      </c>
      <c r="L106" s="89"/>
    </row>
    <row r="107" spans="1:12">
      <c r="A107" s="85">
        <v>22</v>
      </c>
      <c r="B107" s="86" t="str">
        <f>IF(MAESTRO!B115="","",MAESTRO!B115)</f>
        <v/>
      </c>
      <c r="C107" s="90" t="str">
        <f>IF(MAESTRO!F115="","",IFERROR('Planilla (Ingles) '!H37,""))</f>
        <v/>
      </c>
      <c r="D107" s="90" t="str">
        <f>IF(MAESTRO!I115="","",IFERROR('Planilla (Español)'!H37,""))</f>
        <v/>
      </c>
      <c r="E107" s="90" t="str">
        <f>IF(MAESTRO!M115="","",IFERROR('Planilla (Matematica)'!H37,""))</f>
        <v/>
      </c>
      <c r="F107" s="90" t="str">
        <f>IF(MAESTRO!Q115="","",IFERROR('Planilla (C. Sociales)'!H37,""))</f>
        <v/>
      </c>
      <c r="G107" s="90" t="str">
        <f>IF(MAESTRO!B115="","",IFERROR('Planilla (C. Naturales)'!H37,""))</f>
        <v/>
      </c>
      <c r="H107" s="90" t="str">
        <f>IF(MAESTRO!F115="","",IFERROR('Planilla (Religión)'!H37,""))</f>
        <v/>
      </c>
      <c r="I107" s="90" t="str">
        <f>IF(MAESTRO!B115="","",IFERROR('Planilla (E. Artisticas)'!H37,""))</f>
        <v/>
      </c>
      <c r="J107" s="90" t="str">
        <f>IF(MAESTRO!M115="","",IFERROR('Planilla (Tecnologia)'!H37,""))</f>
        <v/>
      </c>
      <c r="K107" s="90" t="str">
        <f>IF(MAESTRO!N115="","",IFERROR('Planilla (E. Fisica)'!H37,""))</f>
        <v/>
      </c>
      <c r="L107" s="90"/>
    </row>
    <row r="108" spans="1:12">
      <c r="A108" s="87">
        <v>23</v>
      </c>
      <c r="B108" s="88" t="str">
        <f>IF(MAESTRO!B116="","",MAESTRO!B116)</f>
        <v/>
      </c>
      <c r="C108" s="89" t="str">
        <f>IF(MAESTRO!F116="","",IFERROR('Planilla (Ingles) '!H38,""))</f>
        <v/>
      </c>
      <c r="D108" s="89" t="str">
        <f>IF(MAESTRO!I116="","",IFERROR('Planilla (Español)'!H38,""))</f>
        <v/>
      </c>
      <c r="E108" s="89" t="str">
        <f>IF(MAESTRO!M116="","",IFERROR('Planilla (Matematica)'!H38,""))</f>
        <v/>
      </c>
      <c r="F108" s="89" t="str">
        <f>IF(MAESTRO!Q116="","",IFERROR('Planilla (C. Sociales)'!H38,""))</f>
        <v/>
      </c>
      <c r="G108" s="89" t="str">
        <f>IF(MAESTRO!B116="","",IFERROR('Planilla (C. Naturales)'!H38,""))</f>
        <v/>
      </c>
      <c r="H108" s="89" t="str">
        <f>IF(MAESTRO!F116="","",IFERROR('Planilla (Religión)'!H38,""))</f>
        <v/>
      </c>
      <c r="I108" s="89" t="str">
        <f>IF(MAESTRO!B116="","",IFERROR('Planilla (E. Artisticas)'!H38,""))</f>
        <v/>
      </c>
      <c r="J108" s="89" t="str">
        <f>IF(MAESTRO!M116="","",IFERROR('Planilla (Tecnologia)'!H38,""))</f>
        <v/>
      </c>
      <c r="K108" s="89" t="str">
        <f>IF(MAESTRO!N116="","",IFERROR('Planilla (E. Fisica)'!H38,""))</f>
        <v/>
      </c>
      <c r="L108" s="89"/>
    </row>
    <row r="109" spans="1:12">
      <c r="A109" s="85">
        <v>24</v>
      </c>
      <c r="B109" s="86" t="str">
        <f>IF(MAESTRO!B117="","",MAESTRO!B117)</f>
        <v/>
      </c>
      <c r="C109" s="90" t="str">
        <f>IF(MAESTRO!F117="","",IFERROR('Planilla (Ingles) '!H39,""))</f>
        <v/>
      </c>
      <c r="D109" s="90" t="str">
        <f>IF(MAESTRO!I117="","",IFERROR('Planilla (Español)'!H39,""))</f>
        <v/>
      </c>
      <c r="E109" s="90" t="str">
        <f>IF(MAESTRO!M117="","",IFERROR('Planilla (Matematica)'!H39,""))</f>
        <v/>
      </c>
      <c r="F109" s="90" t="str">
        <f>IF(MAESTRO!Q117="","",IFERROR('Planilla (C. Sociales)'!H39,""))</f>
        <v/>
      </c>
      <c r="G109" s="90" t="str">
        <f>IF(MAESTRO!B117="","",IFERROR('Planilla (C. Naturales)'!H39,""))</f>
        <v/>
      </c>
      <c r="H109" s="90" t="str">
        <f>IF(MAESTRO!F117="","",IFERROR('Planilla (Religión)'!H39,""))</f>
        <v/>
      </c>
      <c r="I109" s="90" t="str">
        <f>IF(MAESTRO!B117="","",IFERROR('Planilla (E. Artisticas)'!H39,""))</f>
        <v/>
      </c>
      <c r="J109" s="90" t="str">
        <f>IF(MAESTRO!M117="","",IFERROR('Planilla (Tecnologia)'!H39,""))</f>
        <v/>
      </c>
      <c r="K109" s="90" t="str">
        <f>IF(MAESTRO!N117="","",IFERROR('Planilla (E. Fisica)'!H39,""))</f>
        <v/>
      </c>
      <c r="L109" s="90"/>
    </row>
    <row r="110" spans="1:12">
      <c r="A110" s="87">
        <v>25</v>
      </c>
      <c r="B110" s="88" t="str">
        <f>IF(MAESTRO!B118="","",MAESTRO!B118)</f>
        <v/>
      </c>
      <c r="C110" s="89" t="str">
        <f>IF(MAESTRO!F118="","",IFERROR('Planilla (Ingles) '!H40,""))</f>
        <v/>
      </c>
      <c r="D110" s="89" t="str">
        <f>IF(MAESTRO!I118="","",IFERROR('Planilla (Español)'!H40,""))</f>
        <v/>
      </c>
      <c r="E110" s="89" t="str">
        <f>IF(MAESTRO!M118="","",IFERROR('Planilla (Matematica)'!H40,""))</f>
        <v/>
      </c>
      <c r="F110" s="89" t="str">
        <f>IF(MAESTRO!Q118="","",IFERROR('Planilla (C. Sociales)'!H40,""))</f>
        <v/>
      </c>
      <c r="G110" s="89" t="str">
        <f>IF(MAESTRO!B118="","",IFERROR('Planilla (C. Naturales)'!H40,""))</f>
        <v/>
      </c>
      <c r="H110" s="89" t="str">
        <f>IF(MAESTRO!F118="","",IFERROR('Planilla (Religión)'!H40,""))</f>
        <v/>
      </c>
      <c r="I110" s="89" t="str">
        <f>IF(MAESTRO!B118="","",IFERROR('Planilla (E. Artisticas)'!H40,""))</f>
        <v/>
      </c>
      <c r="J110" s="89" t="str">
        <f>IF(MAESTRO!M118="","",IFERROR('Planilla (Tecnologia)'!H40,""))</f>
        <v/>
      </c>
      <c r="K110" s="89" t="str">
        <f>IF(MAESTRO!N118="","",IFERROR('Planilla (E. Fisica)'!H40,""))</f>
        <v/>
      </c>
      <c r="L110" s="89"/>
    </row>
    <row r="111" spans="1:12">
      <c r="A111" s="85">
        <v>26</v>
      </c>
      <c r="B111" s="86" t="str">
        <f>IF(MAESTRO!B119="","",MAESTRO!B119)</f>
        <v/>
      </c>
      <c r="C111" s="90" t="str">
        <f>IF(MAESTRO!F119="","",IFERROR('Planilla (Ingles) '!H41,""))</f>
        <v/>
      </c>
      <c r="D111" s="90" t="str">
        <f>IF(MAESTRO!I119="","",IFERROR('Planilla (Español)'!H41,""))</f>
        <v/>
      </c>
      <c r="E111" s="90" t="str">
        <f>IF(MAESTRO!M119="","",IFERROR('Planilla (Matematica)'!H41,""))</f>
        <v/>
      </c>
      <c r="F111" s="90" t="str">
        <f>IF(MAESTRO!Q119="","",IFERROR('Planilla (C. Sociales)'!H41,""))</f>
        <v/>
      </c>
      <c r="G111" s="90" t="str">
        <f>IF(MAESTRO!B119="","",IFERROR('Planilla (C. Naturales)'!H41,""))</f>
        <v/>
      </c>
      <c r="H111" s="90" t="str">
        <f>IF(MAESTRO!F119="","",IFERROR('Planilla (Religión)'!H41,""))</f>
        <v/>
      </c>
      <c r="I111" s="90" t="str">
        <f>IF(MAESTRO!B119="","",IFERROR('Planilla (E. Artisticas)'!H41,""))</f>
        <v/>
      </c>
      <c r="J111" s="90" t="str">
        <f>IF(MAESTRO!M119="","",IFERROR('Planilla (Tecnologia)'!H41,""))</f>
        <v/>
      </c>
      <c r="K111" s="90" t="str">
        <f>IF(MAESTRO!N119="","",IFERROR('Planilla (E. Fisica)'!H41,""))</f>
        <v/>
      </c>
      <c r="L111" s="90"/>
    </row>
    <row r="112" spans="1:12">
      <c r="A112" s="87">
        <v>27</v>
      </c>
      <c r="B112" s="88" t="str">
        <f>IF(MAESTRO!B120="","",MAESTRO!B120)</f>
        <v/>
      </c>
      <c r="C112" s="89" t="str">
        <f>IF(MAESTRO!F120="","",IFERROR('Planilla (Ingles) '!H42,""))</f>
        <v/>
      </c>
      <c r="D112" s="89" t="str">
        <f>IF(MAESTRO!I120="","",IFERROR('Planilla (Español)'!H42,""))</f>
        <v/>
      </c>
      <c r="E112" s="89" t="str">
        <f>IF(MAESTRO!M120="","",IFERROR('Planilla (Matematica)'!H42,""))</f>
        <v/>
      </c>
      <c r="F112" s="89" t="str">
        <f>IF(MAESTRO!Q120="","",IFERROR('Planilla (C. Sociales)'!H42,""))</f>
        <v/>
      </c>
      <c r="G112" s="89" t="str">
        <f>IF(MAESTRO!B120="","",IFERROR('Planilla (C. Naturales)'!H42,""))</f>
        <v/>
      </c>
      <c r="H112" s="89" t="str">
        <f>IF(MAESTRO!F120="","",IFERROR('Planilla (Religión)'!H42,""))</f>
        <v/>
      </c>
      <c r="I112" s="89" t="str">
        <f>IF(MAESTRO!B120="","",IFERROR('Planilla (E. Artisticas)'!H42,""))</f>
        <v/>
      </c>
      <c r="J112" s="89" t="str">
        <f>IF(MAESTRO!M120="","",IFERROR('Planilla (Tecnologia)'!H42,""))</f>
        <v/>
      </c>
      <c r="K112" s="89" t="str">
        <f>IF(MAESTRO!N120="","",IFERROR('Planilla (E. Fisica)'!H42,""))</f>
        <v/>
      </c>
      <c r="L112" s="89"/>
    </row>
    <row r="113" spans="1:12">
      <c r="A113" s="85">
        <v>28</v>
      </c>
      <c r="B113" s="86" t="str">
        <f>IF(MAESTRO!B121="","",MAESTRO!B121)</f>
        <v/>
      </c>
      <c r="C113" s="90" t="str">
        <f>IF(MAESTRO!F121="","",IFERROR('Planilla (Ingles) '!H43,""))</f>
        <v/>
      </c>
      <c r="D113" s="90" t="str">
        <f>IF(MAESTRO!I121="","",IFERROR('Planilla (Español)'!H43,""))</f>
        <v/>
      </c>
      <c r="E113" s="90" t="str">
        <f>IF(MAESTRO!M121="","",IFERROR('Planilla (Matematica)'!H43,""))</f>
        <v/>
      </c>
      <c r="F113" s="90" t="str">
        <f>IF(MAESTRO!Q121="","",IFERROR('Planilla (C. Sociales)'!H43,""))</f>
        <v/>
      </c>
      <c r="G113" s="90" t="str">
        <f>IF(MAESTRO!B121="","",IFERROR('Planilla (C. Naturales)'!H43,""))</f>
        <v/>
      </c>
      <c r="H113" s="90" t="str">
        <f>IF(MAESTRO!F121="","",IFERROR('Planilla (Religión)'!H43,""))</f>
        <v/>
      </c>
      <c r="I113" s="90" t="str">
        <f>IF(MAESTRO!B121="","",IFERROR('Planilla (E. Artisticas)'!H43,""))</f>
        <v/>
      </c>
      <c r="J113" s="90" t="str">
        <f>IF(MAESTRO!M121="","",IFERROR('Planilla (Tecnologia)'!H43,""))</f>
        <v/>
      </c>
      <c r="K113" s="90" t="str">
        <f>IF(MAESTRO!N121="","",IFERROR('Planilla (E. Fisica)'!H43,""))</f>
        <v/>
      </c>
      <c r="L113" s="90"/>
    </row>
    <row r="114" spans="1:12">
      <c r="A114" s="87">
        <v>29</v>
      </c>
      <c r="B114" s="88" t="str">
        <f>IF(MAESTRO!B122="","",MAESTRO!B122)</f>
        <v/>
      </c>
      <c r="C114" s="89" t="str">
        <f>IF(MAESTRO!F122="","",IFERROR('Planilla (Ingles) '!H44,""))</f>
        <v/>
      </c>
      <c r="D114" s="89" t="str">
        <f>IF(MAESTRO!I122="","",IFERROR('Planilla (Español)'!H44,""))</f>
        <v/>
      </c>
      <c r="E114" s="89" t="str">
        <f>IF(MAESTRO!M122="","",IFERROR('Planilla (Matematica)'!H44,""))</f>
        <v/>
      </c>
      <c r="F114" s="89" t="str">
        <f>IF(MAESTRO!Q122="","",IFERROR('Planilla (C. Sociales)'!H44,""))</f>
        <v/>
      </c>
      <c r="G114" s="89" t="str">
        <f>IF(MAESTRO!B122="","",IFERROR('Planilla (C. Naturales)'!H44,""))</f>
        <v/>
      </c>
      <c r="H114" s="89" t="str">
        <f>IF(MAESTRO!F122="","",IFERROR('Planilla (Religión)'!H44,""))</f>
        <v/>
      </c>
      <c r="I114" s="89" t="str">
        <f>IF(MAESTRO!B122="","",IFERROR('Planilla (E. Artisticas)'!H44,""))</f>
        <v/>
      </c>
      <c r="J114" s="89" t="str">
        <f>IF(MAESTRO!M122="","",IFERROR('Planilla (Tecnologia)'!H44,""))</f>
        <v/>
      </c>
      <c r="K114" s="89" t="str">
        <f>IF(MAESTRO!N122="","",IFERROR('Planilla (E. Fisica)'!H44,""))</f>
        <v/>
      </c>
      <c r="L114" s="89"/>
    </row>
    <row r="115" spans="1:12">
      <c r="A115" s="85">
        <v>30</v>
      </c>
      <c r="B115" s="86" t="str">
        <f>IF(MAESTRO!B123="","",MAESTRO!B123)</f>
        <v/>
      </c>
      <c r="C115" s="90" t="str">
        <f>IF(MAESTRO!F123="","",IFERROR('Planilla (Ingles) '!H45,""))</f>
        <v/>
      </c>
      <c r="D115" s="90" t="str">
        <f>IF(MAESTRO!I123="","",IFERROR('Planilla (Español)'!H45,""))</f>
        <v/>
      </c>
      <c r="E115" s="90" t="str">
        <f>IF(MAESTRO!M123="","",IFERROR('Planilla (Matematica)'!H45,""))</f>
        <v/>
      </c>
      <c r="F115" s="90" t="str">
        <f>IF(MAESTRO!Q123="","",IFERROR('Planilla (C. Sociales)'!H45,""))</f>
        <v/>
      </c>
      <c r="G115" s="90" t="str">
        <f>IF(MAESTRO!B123="","",IFERROR('Planilla (C. Naturales)'!H45,""))</f>
        <v/>
      </c>
      <c r="H115" s="90" t="str">
        <f>IF(MAESTRO!F123="","",IFERROR('Planilla (Religión)'!H45,""))</f>
        <v/>
      </c>
      <c r="I115" s="90" t="str">
        <f>IF(MAESTRO!B123="","",IFERROR('Planilla (E. Artisticas)'!H45,""))</f>
        <v/>
      </c>
      <c r="J115" s="90" t="str">
        <f>IF(MAESTRO!M123="","",IFERROR('Planilla (Tecnologia)'!H45,""))</f>
        <v/>
      </c>
      <c r="K115" s="90" t="str">
        <f>IF(MAESTRO!N123="","",IFERROR('Planilla (E. Fisica)'!H45,""))</f>
        <v/>
      </c>
      <c r="L115" s="90"/>
    </row>
    <row r="116" spans="1:12">
      <c r="A116" s="87">
        <v>31</v>
      </c>
      <c r="B116" s="88" t="str">
        <f>IF(MAESTRO!B124="","",MAESTRO!B124)</f>
        <v/>
      </c>
      <c r="C116" s="89" t="str">
        <f>IF(MAESTRO!F124="","",IFERROR('Planilla (Ingles) '!H46,""))</f>
        <v/>
      </c>
      <c r="D116" s="89" t="str">
        <f>IF(MAESTRO!I124="","",IFERROR('Planilla (Español)'!H46,""))</f>
        <v/>
      </c>
      <c r="E116" s="89" t="str">
        <f>IF(MAESTRO!M124="","",IFERROR('Planilla (Matematica)'!H46,""))</f>
        <v/>
      </c>
      <c r="F116" s="89" t="str">
        <f>IF(MAESTRO!Q124="","",IFERROR('Planilla (C. Sociales)'!H46,""))</f>
        <v/>
      </c>
      <c r="G116" s="89" t="str">
        <f>IF(MAESTRO!B124="","",IFERROR('Planilla (C. Naturales)'!H46,""))</f>
        <v/>
      </c>
      <c r="H116" s="89" t="str">
        <f>IF(MAESTRO!F124="","",IFERROR('Planilla (Religión)'!H46,""))</f>
        <v/>
      </c>
      <c r="I116" s="89" t="str">
        <f>IF(MAESTRO!B124="","",IFERROR('Planilla (E. Artisticas)'!H46,""))</f>
        <v/>
      </c>
      <c r="J116" s="89" t="str">
        <f>IF(MAESTRO!M124="","",IFERROR('Planilla (Tecnologia)'!H46,""))</f>
        <v/>
      </c>
      <c r="K116" s="89" t="str">
        <f>IF(MAESTRO!N124="","",IFERROR('Planilla (E. Fisica)'!H46,""))</f>
        <v/>
      </c>
      <c r="L116" s="89"/>
    </row>
    <row r="117" spans="1:12">
      <c r="A117" s="85">
        <v>32</v>
      </c>
      <c r="B117" s="86" t="str">
        <f>IF(MAESTRO!B125="","",MAESTRO!B125)</f>
        <v/>
      </c>
      <c r="C117" s="90" t="str">
        <f>IF(MAESTRO!F125="","",IFERROR('Planilla (Ingles) '!H47,""))</f>
        <v/>
      </c>
      <c r="D117" s="90" t="str">
        <f>IF(MAESTRO!I125="","",IFERROR('Planilla (Español)'!H47,""))</f>
        <v/>
      </c>
      <c r="E117" s="90" t="str">
        <f>IF(MAESTRO!M125="","",IFERROR('Planilla (Matematica)'!H47,""))</f>
        <v/>
      </c>
      <c r="F117" s="90" t="str">
        <f>IF(MAESTRO!Q125="","",IFERROR('Planilla (C. Sociales)'!H47,""))</f>
        <v/>
      </c>
      <c r="G117" s="90" t="str">
        <f>IF(MAESTRO!B125="","",IFERROR('Planilla (C. Naturales)'!H47,""))</f>
        <v/>
      </c>
      <c r="H117" s="90" t="str">
        <f>IF(MAESTRO!F125="","",IFERROR('Planilla (Religión)'!H47,""))</f>
        <v/>
      </c>
      <c r="I117" s="90" t="str">
        <f>IF(MAESTRO!B125="","",IFERROR('Planilla (E. Artisticas)'!H47,""))</f>
        <v/>
      </c>
      <c r="J117" s="90" t="str">
        <f>IF(MAESTRO!M125="","",IFERROR('Planilla (Tecnologia)'!H47,""))</f>
        <v/>
      </c>
      <c r="K117" s="90" t="str">
        <f>IF(MAESTRO!N125="","",IFERROR('Planilla (E. Fisica)'!H47,""))</f>
        <v/>
      </c>
      <c r="L117" s="90"/>
    </row>
    <row r="118" spans="1:12">
      <c r="A118" s="87">
        <v>33</v>
      </c>
      <c r="B118" s="88" t="str">
        <f>IF(MAESTRO!B126="","",MAESTRO!B126)</f>
        <v/>
      </c>
      <c r="C118" s="89" t="str">
        <f>IF(MAESTRO!F126="","",IFERROR('Planilla (Ingles) '!H48,""))</f>
        <v/>
      </c>
      <c r="D118" s="89" t="str">
        <f>IF(MAESTRO!I126="","",IFERROR('Planilla (Español)'!H48,""))</f>
        <v/>
      </c>
      <c r="E118" s="89" t="str">
        <f>IF(MAESTRO!M126="","",IFERROR('Planilla (Matematica)'!H48,""))</f>
        <v/>
      </c>
      <c r="F118" s="89" t="str">
        <f>IF(MAESTRO!Q126="","",IFERROR('Planilla (C. Sociales)'!H48,""))</f>
        <v/>
      </c>
      <c r="G118" s="89" t="str">
        <f>IF(MAESTRO!B126="","",IFERROR('Planilla (C. Naturales)'!H48,""))</f>
        <v/>
      </c>
      <c r="H118" s="89" t="str">
        <f>IF(MAESTRO!F126="","",IFERROR('Planilla (Religión)'!H48,""))</f>
        <v/>
      </c>
      <c r="I118" s="89" t="str">
        <f>IF(MAESTRO!B126="","",IFERROR('Planilla (E. Artisticas)'!H48,""))</f>
        <v/>
      </c>
      <c r="J118" s="89" t="str">
        <f>IF(MAESTRO!M126="","",IFERROR('Planilla (Tecnologia)'!H48,""))</f>
        <v/>
      </c>
      <c r="K118" s="89" t="str">
        <f>IF(MAESTRO!N126="","",IFERROR('Planilla (E. Fisica)'!H48,""))</f>
        <v/>
      </c>
      <c r="L118" s="89"/>
    </row>
    <row r="119" spans="1:12">
      <c r="A119" s="85">
        <v>34</v>
      </c>
      <c r="B119" s="86" t="str">
        <f>IF(MAESTRO!B127="","",MAESTRO!B127)</f>
        <v/>
      </c>
      <c r="C119" s="90" t="str">
        <f>IF(MAESTRO!F127="","",IFERROR('Planilla (Ingles) '!H49,""))</f>
        <v/>
      </c>
      <c r="D119" s="90" t="str">
        <f>IF(MAESTRO!I127="","",IFERROR('Planilla (Español)'!H49,""))</f>
        <v/>
      </c>
      <c r="E119" s="90" t="str">
        <f>IF(MAESTRO!M127="","",IFERROR('Planilla (Matematica)'!H49,""))</f>
        <v/>
      </c>
      <c r="F119" s="90" t="str">
        <f>IF(MAESTRO!Q127="","",IFERROR('Planilla (C. Sociales)'!H49,""))</f>
        <v/>
      </c>
      <c r="G119" s="90" t="str">
        <f>IF(MAESTRO!B127="","",IFERROR('Planilla (C. Naturales)'!H49,""))</f>
        <v/>
      </c>
      <c r="H119" s="90" t="str">
        <f>IF(MAESTRO!F127="","",IFERROR('Planilla (Religión)'!H49,""))</f>
        <v/>
      </c>
      <c r="I119" s="90" t="str">
        <f>IF(MAESTRO!B127="","",IFERROR('Planilla (E. Artisticas)'!H49,""))</f>
        <v/>
      </c>
      <c r="J119" s="90" t="str">
        <f>IF(MAESTRO!M127="","",IFERROR('Planilla (Tecnologia)'!H49,""))</f>
        <v/>
      </c>
      <c r="K119" s="90" t="str">
        <f>IF(MAESTRO!N127="","",IFERROR('Planilla (E. Fisica)'!H49,""))</f>
        <v/>
      </c>
      <c r="L119" s="90"/>
    </row>
    <row r="120" spans="1:12">
      <c r="A120" s="87">
        <v>35</v>
      </c>
      <c r="B120" s="88" t="str">
        <f>IF(MAESTRO!B128="","",MAESTRO!B128)</f>
        <v/>
      </c>
      <c r="C120" s="89" t="str">
        <f>IF(MAESTRO!F128="","",IFERROR('Planilla (Ingles) '!H50,""))</f>
        <v/>
      </c>
      <c r="D120" s="89" t="str">
        <f>IF(MAESTRO!I128="","",IFERROR('Planilla (Español)'!H50,""))</f>
        <v/>
      </c>
      <c r="E120" s="89" t="str">
        <f>IF(MAESTRO!M128="","",IFERROR('Planilla (Matematica)'!H50,""))</f>
        <v/>
      </c>
      <c r="F120" s="89" t="str">
        <f>IF(MAESTRO!Q128="","",IFERROR('Planilla (C. Sociales)'!H50,""))</f>
        <v/>
      </c>
      <c r="G120" s="89" t="str">
        <f>IF(MAESTRO!B128="","",IFERROR('Planilla (C. Naturales)'!H50,""))</f>
        <v/>
      </c>
      <c r="H120" s="89" t="str">
        <f>IF(MAESTRO!F128="","",IFERROR('Planilla (Religión)'!H50,""))</f>
        <v/>
      </c>
      <c r="I120" s="89" t="str">
        <f>IF(MAESTRO!B128="","",IFERROR('Planilla (E. Artisticas)'!H50,""))</f>
        <v/>
      </c>
      <c r="J120" s="89" t="str">
        <f>IF(MAESTRO!M128="","",IFERROR('Planilla (Tecnologia)'!H50,""))</f>
        <v/>
      </c>
      <c r="K120" s="89" t="str">
        <f>IF(MAESTRO!N128="","",IFERROR('Planilla (E. Fisica)'!H50,""))</f>
        <v/>
      </c>
      <c r="L120" s="89"/>
    </row>
    <row r="121" spans="1:12">
      <c r="A121" s="98" t="s">
        <v>116</v>
      </c>
      <c r="B121" s="99"/>
      <c r="C121" s="91" t="str">
        <f t="shared" ref="C121:K121" si="2">IFERROR(ROUND(AVERAGEIF(C86:C120,"&lt;&gt;"&amp;""),1),"")</f>
        <v/>
      </c>
      <c r="D121" s="91" t="str">
        <f t="shared" si="2"/>
        <v/>
      </c>
      <c r="E121" s="91" t="str">
        <f t="shared" si="2"/>
        <v/>
      </c>
      <c r="F121" s="91" t="str">
        <f t="shared" si="2"/>
        <v/>
      </c>
      <c r="G121" s="91" t="str">
        <f t="shared" si="2"/>
        <v/>
      </c>
      <c r="H121" s="91" t="str">
        <f t="shared" si="2"/>
        <v/>
      </c>
      <c r="I121" s="91" t="str">
        <f t="shared" si="2"/>
        <v/>
      </c>
      <c r="J121" s="91" t="str">
        <f t="shared" si="2"/>
        <v/>
      </c>
      <c r="K121" s="91" t="str">
        <f t="shared" si="2"/>
        <v/>
      </c>
      <c r="L121" s="91"/>
    </row>
  </sheetData>
  <mergeCells count="16">
    <mergeCell ref="A83:L83"/>
    <mergeCell ref="A84:A85"/>
    <mergeCell ref="B84:B85"/>
    <mergeCell ref="L84:L85"/>
    <mergeCell ref="A121:B121"/>
    <mergeCell ref="A79:B79"/>
    <mergeCell ref="A41:L41"/>
    <mergeCell ref="A42:A43"/>
    <mergeCell ref="B42:B43"/>
    <mergeCell ref="L42:L43"/>
    <mergeCell ref="A1:K1"/>
    <mergeCell ref="A39:B39"/>
    <mergeCell ref="A2:L2"/>
    <mergeCell ref="L3:L4"/>
    <mergeCell ref="B3:B4"/>
    <mergeCell ref="A3:A4"/>
  </mergeCells>
  <conditionalFormatting sqref="C5:L38">
    <cfRule type="cellIs" dxfId="35" priority="19" operator="lessThan">
      <formula>3</formula>
    </cfRule>
    <cfRule type="cellIs" dxfId="34" priority="20" operator="between">
      <formula>3</formula>
      <formula>3.4</formula>
    </cfRule>
    <cfRule type="cellIs" dxfId="33" priority="21" operator="greaterThanOrEqual">
      <formula>4.5</formula>
    </cfRule>
  </conditionalFormatting>
  <conditionalFormatting sqref="C44:L78">
    <cfRule type="cellIs" dxfId="32" priority="10" operator="lessThan">
      <formula>3</formula>
    </cfRule>
    <cfRule type="cellIs" dxfId="31" priority="11" operator="between">
      <formula>3</formula>
      <formula>3.4</formula>
    </cfRule>
    <cfRule type="cellIs" dxfId="30" priority="12" operator="greaterThanOrEqual">
      <formula>4.5</formula>
    </cfRule>
  </conditionalFormatting>
  <conditionalFormatting sqref="C86:L120">
    <cfRule type="cellIs" dxfId="29" priority="1" operator="lessThan">
      <formula>3</formula>
    </cfRule>
    <cfRule type="cellIs" dxfId="28" priority="2" operator="between">
      <formula>3</formula>
      <formula>3.4</formula>
    </cfRule>
    <cfRule type="cellIs" dxfId="27" priority="3" operator="greaterThanOrEqual">
      <formula>4.5</formula>
    </cfRule>
  </conditionalFormatting>
  <pageMargins left="0.70866141732283461" right="0.70866141732283461" top="0.74803149606299213" bottom="0.74803149606299213" header="0.31496062992125984" footer="0.31496062992125984"/>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7">
    <tabColor rgb="FF4472C4"/>
  </sheetPr>
  <dimension ref="A1:BL138"/>
  <sheetViews>
    <sheetView view="pageLayout" zoomScale="70" zoomScaleNormal="100" zoomScalePageLayoutView="70" workbookViewId="0">
      <selection activeCell="B7" sqref="B7"/>
    </sheetView>
  </sheetViews>
  <sheetFormatPr baseColWidth="10" defaultRowHeight="14.4"/>
  <cols>
    <col min="1" max="1" width="3.44140625" customWidth="1"/>
    <col min="2" max="2" width="28.6640625" customWidth="1"/>
    <col min="3" max="36" width="2" style="17" customWidth="1"/>
    <col min="37" max="37" width="2.33203125" style="17" customWidth="1"/>
    <col min="38" max="59" width="2" style="17"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50"/>
      <c r="B1" s="153" t="s">
        <v>0</v>
      </c>
      <c r="C1" s="157" t="s">
        <v>1</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c r="AP1" s="116"/>
      <c r="AQ1" s="116"/>
      <c r="AR1" s="116"/>
      <c r="AS1" s="116"/>
      <c r="AT1" s="116"/>
      <c r="AU1" s="116"/>
      <c r="AV1" s="116"/>
      <c r="AW1" s="116"/>
      <c r="AX1" s="116"/>
      <c r="AY1" s="116"/>
      <c r="AZ1" s="116"/>
      <c r="BA1" s="116"/>
      <c r="BB1" s="116"/>
      <c r="BC1" s="116"/>
      <c r="BD1" s="116"/>
      <c r="BE1" s="116"/>
      <c r="BF1" s="116"/>
      <c r="BG1" s="116"/>
      <c r="BH1" s="117"/>
      <c r="BI1" s="152" t="s">
        <v>2</v>
      </c>
      <c r="BJ1" s="117"/>
      <c r="BK1" s="115" t="s">
        <v>3</v>
      </c>
      <c r="BL1" s="124"/>
    </row>
    <row r="2" spans="1:64" ht="46.5" customHeight="1">
      <c r="A2" s="151"/>
      <c r="B2" s="118"/>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4</v>
      </c>
      <c r="BJ2" s="8" t="s">
        <v>5</v>
      </c>
      <c r="BK2" s="155"/>
      <c r="BL2" s="156"/>
    </row>
    <row r="3" spans="1:64" ht="15" customHeight="1">
      <c r="A3" s="1">
        <v>1</v>
      </c>
      <c r="B3" s="63" t="str">
        <f>IF(MAESTRO!B5="","",MAESTRO!B5)</f>
        <v/>
      </c>
      <c r="C3" s="60"/>
      <c r="D3" s="16"/>
      <c r="E3" s="16"/>
      <c r="F3" s="60"/>
      <c r="G3" s="16"/>
      <c r="H3" s="16"/>
      <c r="I3" s="16"/>
      <c r="J3" s="16"/>
      <c r="K3" s="16"/>
      <c r="L3" s="16"/>
      <c r="M3" s="16"/>
      <c r="N3" s="16"/>
      <c r="O3" s="16"/>
      <c r="P3" s="16"/>
      <c r="Q3" s="16"/>
      <c r="R3" s="16"/>
      <c r="S3" s="16"/>
      <c r="T3" s="16"/>
      <c r="U3" s="16"/>
      <c r="V3" s="16"/>
      <c r="W3" s="16"/>
      <c r="X3" s="16"/>
      <c r="Y3" s="22"/>
      <c r="Z3" s="22"/>
      <c r="AA3" s="22"/>
      <c r="AB3" s="22"/>
      <c r="AC3" s="22"/>
      <c r="AD3" s="16"/>
      <c r="AE3" s="16"/>
      <c r="AF3" s="16"/>
      <c r="AG3" s="16"/>
      <c r="AH3" s="16"/>
      <c r="AI3" s="16"/>
      <c r="AJ3" s="16"/>
      <c r="AK3" s="22"/>
      <c r="AL3" s="16"/>
      <c r="AM3" s="16"/>
      <c r="AN3" s="16"/>
      <c r="AO3" s="16"/>
      <c r="AP3" s="16"/>
      <c r="AQ3" s="16"/>
      <c r="AR3" s="16"/>
      <c r="AS3" s="16"/>
      <c r="AT3" s="16"/>
      <c r="AU3" s="16"/>
      <c r="AV3" s="16"/>
      <c r="AW3" s="16"/>
      <c r="AX3" s="16"/>
      <c r="AY3" s="16"/>
      <c r="AZ3" s="16"/>
      <c r="BA3" s="16"/>
      <c r="BB3" s="16"/>
      <c r="BC3" s="16"/>
      <c r="BD3" s="16"/>
      <c r="BE3" s="16"/>
      <c r="BF3" s="16"/>
      <c r="BG3" s="16"/>
      <c r="BH3" s="4"/>
      <c r="BI3" s="4">
        <f t="shared" ref="BI3:BI40" si="0">IFERROR(COUNTIF(C3:BH3,"-"),"")</f>
        <v>0</v>
      </c>
      <c r="BJ3" s="4">
        <f t="shared" ref="BJ3:BJ43" si="1">IFERROR(COUNTIF(D3:BI3,"T"),"")</f>
        <v>0</v>
      </c>
      <c r="BK3" s="4"/>
      <c r="BL3" s="3">
        <v>1</v>
      </c>
    </row>
    <row r="4" spans="1:64">
      <c r="A4" s="1">
        <v>2</v>
      </c>
      <c r="B4" s="63" t="str">
        <f>IF(MAESTRO!B6="","",MAESTRO!B6)</f>
        <v/>
      </c>
      <c r="C4" s="55"/>
      <c r="D4" s="16"/>
      <c r="E4" s="16"/>
      <c r="F4" s="55"/>
      <c r="G4" s="16"/>
      <c r="H4" s="16"/>
      <c r="I4" s="16"/>
      <c r="J4" s="16"/>
      <c r="K4" s="16"/>
      <c r="L4" s="16"/>
      <c r="M4" s="16"/>
      <c r="N4" s="16"/>
      <c r="O4" s="16"/>
      <c r="P4" s="16"/>
      <c r="Q4" s="16"/>
      <c r="R4" s="16"/>
      <c r="S4" s="16"/>
      <c r="T4" s="16"/>
      <c r="U4" s="16"/>
      <c r="V4" s="16"/>
      <c r="W4" s="16"/>
      <c r="X4" s="16"/>
      <c r="Y4" s="22"/>
      <c r="Z4" s="22"/>
      <c r="AA4" s="22"/>
      <c r="AB4" s="22"/>
      <c r="AC4" s="22"/>
      <c r="AD4" s="16"/>
      <c r="AE4" s="16"/>
      <c r="AF4" s="16"/>
      <c r="AG4" s="16"/>
      <c r="AH4" s="16"/>
      <c r="AI4" s="16"/>
      <c r="AJ4" s="16"/>
      <c r="AK4" s="22"/>
      <c r="AL4" s="16"/>
      <c r="AM4" s="16"/>
      <c r="AN4" s="16"/>
      <c r="AO4" s="16"/>
      <c r="AP4" s="16"/>
      <c r="AQ4" s="16"/>
      <c r="AR4" s="16"/>
      <c r="AS4" s="16"/>
      <c r="AT4" s="16"/>
      <c r="AU4" s="16"/>
      <c r="AV4" s="16"/>
      <c r="AW4" s="16"/>
      <c r="AX4" s="16"/>
      <c r="AY4" s="16"/>
      <c r="AZ4" s="16"/>
      <c r="BA4" s="16"/>
      <c r="BB4" s="16"/>
      <c r="BC4" s="16"/>
      <c r="BD4" s="16"/>
      <c r="BE4" s="16"/>
      <c r="BF4" s="16"/>
      <c r="BG4" s="16"/>
      <c r="BH4" s="4"/>
      <c r="BI4" s="4">
        <f t="shared" si="0"/>
        <v>0</v>
      </c>
      <c r="BJ4" s="4">
        <f t="shared" si="1"/>
        <v>0</v>
      </c>
      <c r="BK4" s="4"/>
      <c r="BL4" s="3">
        <v>2</v>
      </c>
    </row>
    <row r="5" spans="1:64">
      <c r="A5" s="1">
        <v>3</v>
      </c>
      <c r="B5" s="63" t="str">
        <f>IF(MAESTRO!B7="","",MAESTRO!B7)</f>
        <v/>
      </c>
      <c r="C5" s="55"/>
      <c r="D5" s="16"/>
      <c r="E5" s="16"/>
      <c r="F5" s="55"/>
      <c r="G5" s="16"/>
      <c r="H5" s="16"/>
      <c r="I5" s="16"/>
      <c r="J5" s="16"/>
      <c r="K5" s="16"/>
      <c r="L5" s="16"/>
      <c r="M5" s="16"/>
      <c r="N5" s="16"/>
      <c r="O5" s="16"/>
      <c r="P5" s="16"/>
      <c r="Q5" s="16"/>
      <c r="R5" s="16"/>
      <c r="S5" s="16"/>
      <c r="T5" s="16"/>
      <c r="U5" s="16"/>
      <c r="V5" s="16"/>
      <c r="W5" s="16"/>
      <c r="X5" s="16"/>
      <c r="Y5" s="22"/>
      <c r="Z5" s="22"/>
      <c r="AA5" s="22"/>
      <c r="AB5" s="22"/>
      <c r="AC5" s="22"/>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4"/>
      <c r="BI5" s="4">
        <f t="shared" si="0"/>
        <v>0</v>
      </c>
      <c r="BJ5" s="4">
        <f t="shared" si="1"/>
        <v>0</v>
      </c>
      <c r="BK5" s="4"/>
      <c r="BL5" s="3">
        <v>3</v>
      </c>
    </row>
    <row r="6" spans="1:64">
      <c r="A6" s="1">
        <v>4</v>
      </c>
      <c r="B6" s="63" t="str">
        <f>IF(MAESTRO!B8="","",MAESTRO!B8)</f>
        <v/>
      </c>
      <c r="C6" s="55"/>
      <c r="D6" s="16"/>
      <c r="E6" s="16"/>
      <c r="F6" s="55"/>
      <c r="G6" s="16"/>
      <c r="H6" s="16"/>
      <c r="I6" s="16"/>
      <c r="J6" s="16"/>
      <c r="K6" s="16"/>
      <c r="L6" s="16"/>
      <c r="M6" s="16"/>
      <c r="N6" s="16"/>
      <c r="O6" s="16"/>
      <c r="P6" s="16"/>
      <c r="Q6" s="16"/>
      <c r="R6" s="16"/>
      <c r="S6" s="16"/>
      <c r="T6" s="16"/>
      <c r="U6" s="16"/>
      <c r="V6" s="16"/>
      <c r="W6" s="16"/>
      <c r="X6" s="16"/>
      <c r="Y6" s="22"/>
      <c r="Z6" s="22"/>
      <c r="AA6" s="22"/>
      <c r="AB6" s="22"/>
      <c r="AC6" s="22"/>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4"/>
      <c r="BI6" s="4">
        <f t="shared" si="0"/>
        <v>0</v>
      </c>
      <c r="BJ6" s="4">
        <f t="shared" si="1"/>
        <v>0</v>
      </c>
      <c r="BK6" s="4"/>
      <c r="BL6" s="3">
        <v>4</v>
      </c>
    </row>
    <row r="7" spans="1:64">
      <c r="A7" s="1">
        <v>5</v>
      </c>
      <c r="B7" s="63" t="str">
        <f>IF(MAESTRO!B9="","",MAESTRO!B9)</f>
        <v/>
      </c>
      <c r="C7" s="55"/>
      <c r="D7" s="16"/>
      <c r="E7" s="16"/>
      <c r="F7" s="55"/>
      <c r="G7" s="16"/>
      <c r="H7" s="16"/>
      <c r="I7" s="16"/>
      <c r="J7" s="16"/>
      <c r="K7" s="16"/>
      <c r="L7" s="16"/>
      <c r="M7" s="16"/>
      <c r="N7" s="16"/>
      <c r="O7" s="16"/>
      <c r="P7" s="16"/>
      <c r="Q7" s="16"/>
      <c r="R7" s="16"/>
      <c r="S7" s="16"/>
      <c r="T7" s="16"/>
      <c r="U7" s="16"/>
      <c r="V7" s="16"/>
      <c r="W7" s="16"/>
      <c r="X7" s="16"/>
      <c r="Y7" s="22"/>
      <c r="Z7" s="22"/>
      <c r="AA7" s="22"/>
      <c r="AB7" s="22"/>
      <c r="AC7" s="22"/>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4"/>
      <c r="BI7" s="4">
        <f t="shared" si="0"/>
        <v>0</v>
      </c>
      <c r="BJ7" s="4">
        <f t="shared" si="1"/>
        <v>0</v>
      </c>
      <c r="BK7" s="4"/>
      <c r="BL7" s="3">
        <v>5</v>
      </c>
    </row>
    <row r="8" spans="1:64">
      <c r="A8" s="1">
        <v>6</v>
      </c>
      <c r="B8" s="63" t="str">
        <f>IF(MAESTRO!B10="","",MAESTRO!B10)</f>
        <v/>
      </c>
      <c r="C8" s="55"/>
      <c r="D8" s="16"/>
      <c r="E8" s="16"/>
      <c r="F8" s="55"/>
      <c r="G8" s="16"/>
      <c r="H8" s="16"/>
      <c r="I8" s="16"/>
      <c r="J8" s="16"/>
      <c r="K8" s="16"/>
      <c r="L8" s="16"/>
      <c r="M8" s="16"/>
      <c r="N8" s="16"/>
      <c r="O8" s="16"/>
      <c r="P8" s="16"/>
      <c r="Q8" s="16"/>
      <c r="R8" s="16"/>
      <c r="S8" s="16"/>
      <c r="T8" s="16"/>
      <c r="U8" s="16"/>
      <c r="V8" s="16"/>
      <c r="W8" s="16"/>
      <c r="X8" s="16"/>
      <c r="Y8" s="22"/>
      <c r="Z8" s="22"/>
      <c r="AA8" s="22"/>
      <c r="AB8" s="22"/>
      <c r="AC8" s="22"/>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4"/>
      <c r="BI8" s="4">
        <f t="shared" si="0"/>
        <v>0</v>
      </c>
      <c r="BJ8" s="4">
        <f t="shared" si="1"/>
        <v>0</v>
      </c>
      <c r="BK8" s="4"/>
      <c r="BL8" s="3">
        <v>6</v>
      </c>
    </row>
    <row r="9" spans="1:64">
      <c r="A9" s="1">
        <v>7</v>
      </c>
      <c r="B9" s="63" t="str">
        <f>IF(MAESTRO!B11="","",MAESTRO!B11)</f>
        <v/>
      </c>
      <c r="C9" s="55"/>
      <c r="D9" s="16"/>
      <c r="E9" s="16"/>
      <c r="F9" s="55"/>
      <c r="G9" s="16"/>
      <c r="H9" s="16"/>
      <c r="I9" s="16"/>
      <c r="J9" s="16"/>
      <c r="K9" s="16"/>
      <c r="L9" s="16"/>
      <c r="M9" s="16"/>
      <c r="N9" s="16"/>
      <c r="O9" s="16"/>
      <c r="P9" s="16"/>
      <c r="Q9" s="16"/>
      <c r="R9" s="16"/>
      <c r="S9" s="16"/>
      <c r="T9" s="16"/>
      <c r="U9" s="16"/>
      <c r="V9" s="16"/>
      <c r="W9" s="16"/>
      <c r="X9" s="16"/>
      <c r="Y9" s="22"/>
      <c r="Z9" s="22"/>
      <c r="AA9" s="22"/>
      <c r="AB9" s="22"/>
      <c r="AC9" s="22"/>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4"/>
      <c r="BI9" s="4">
        <f t="shared" si="0"/>
        <v>0</v>
      </c>
      <c r="BJ9" s="4">
        <f t="shared" si="1"/>
        <v>0</v>
      </c>
      <c r="BK9" s="4"/>
      <c r="BL9" s="3">
        <v>7</v>
      </c>
    </row>
    <row r="10" spans="1:64">
      <c r="A10" s="1">
        <v>8</v>
      </c>
      <c r="B10" s="63" t="str">
        <f>IF(MAESTRO!B12="","",MAESTRO!B12)</f>
        <v/>
      </c>
      <c r="C10" s="55"/>
      <c r="D10" s="16"/>
      <c r="E10" s="16"/>
      <c r="F10" s="55"/>
      <c r="G10" s="16"/>
      <c r="H10" s="16"/>
      <c r="I10" s="16"/>
      <c r="J10" s="16"/>
      <c r="K10" s="16"/>
      <c r="L10" s="16"/>
      <c r="M10" s="16"/>
      <c r="N10" s="16"/>
      <c r="O10" s="16"/>
      <c r="P10" s="16"/>
      <c r="Q10" s="16"/>
      <c r="R10" s="16"/>
      <c r="S10" s="16"/>
      <c r="T10" s="16"/>
      <c r="U10" s="16"/>
      <c r="V10" s="16"/>
      <c r="W10" s="16"/>
      <c r="X10" s="16"/>
      <c r="Y10" s="22"/>
      <c r="Z10" s="22"/>
      <c r="AA10" s="22"/>
      <c r="AB10" s="22"/>
      <c r="AC10" s="22"/>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4"/>
      <c r="BI10" s="4">
        <f t="shared" si="0"/>
        <v>0</v>
      </c>
      <c r="BJ10" s="4">
        <f t="shared" si="1"/>
        <v>0</v>
      </c>
      <c r="BK10" s="4"/>
      <c r="BL10" s="3">
        <v>8</v>
      </c>
    </row>
    <row r="11" spans="1:64">
      <c r="A11" s="1">
        <v>9</v>
      </c>
      <c r="B11" s="63" t="str">
        <f>IF(MAESTRO!B13="","",MAESTRO!B13)</f>
        <v/>
      </c>
      <c r="C11" s="55"/>
      <c r="D11" s="16"/>
      <c r="E11" s="16"/>
      <c r="F11" s="55"/>
      <c r="G11" s="16"/>
      <c r="H11" s="16"/>
      <c r="I11" s="16"/>
      <c r="J11" s="16"/>
      <c r="K11" s="16"/>
      <c r="L11" s="16"/>
      <c r="M11" s="16"/>
      <c r="N11" s="16"/>
      <c r="O11" s="16"/>
      <c r="P11" s="16"/>
      <c r="Q11" s="16"/>
      <c r="R11" s="16"/>
      <c r="S11" s="16"/>
      <c r="T11" s="16"/>
      <c r="U11" s="16"/>
      <c r="V11" s="16"/>
      <c r="W11" s="16"/>
      <c r="X11" s="16"/>
      <c r="Y11" s="22"/>
      <c r="Z11" s="22"/>
      <c r="AA11" s="16"/>
      <c r="AB11" s="16"/>
      <c r="AC11" s="22"/>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4"/>
      <c r="BI11" s="4">
        <f t="shared" si="0"/>
        <v>0</v>
      </c>
      <c r="BJ11" s="4">
        <f t="shared" si="1"/>
        <v>0</v>
      </c>
      <c r="BK11" s="4"/>
      <c r="BL11" s="3">
        <v>9</v>
      </c>
    </row>
    <row r="12" spans="1:64">
      <c r="A12" s="1">
        <v>10</v>
      </c>
      <c r="B12" s="63" t="str">
        <f>IF(MAESTRO!B14="","",MAESTRO!B14)</f>
        <v/>
      </c>
      <c r="C12" s="55"/>
      <c r="D12" s="16"/>
      <c r="E12" s="16"/>
      <c r="F12" s="55"/>
      <c r="G12" s="16"/>
      <c r="H12" s="16"/>
      <c r="I12" s="16"/>
      <c r="J12" s="16"/>
      <c r="K12" s="16"/>
      <c r="L12" s="16"/>
      <c r="M12" s="16"/>
      <c r="N12" s="16"/>
      <c r="O12" s="16"/>
      <c r="P12" s="16"/>
      <c r="Q12" s="16"/>
      <c r="R12" s="16"/>
      <c r="S12" s="16"/>
      <c r="T12" s="16"/>
      <c r="U12" s="16"/>
      <c r="V12" s="16"/>
      <c r="W12" s="16"/>
      <c r="X12" s="16"/>
      <c r="Y12" s="22"/>
      <c r="Z12" s="22"/>
      <c r="AA12" s="22"/>
      <c r="AB12" s="22"/>
      <c r="AC12" s="22"/>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4"/>
      <c r="BI12" s="4">
        <f t="shared" si="0"/>
        <v>0</v>
      </c>
      <c r="BJ12" s="4">
        <f t="shared" si="1"/>
        <v>0</v>
      </c>
      <c r="BK12" s="4"/>
      <c r="BL12" s="3">
        <v>10</v>
      </c>
    </row>
    <row r="13" spans="1:64">
      <c r="A13" s="1">
        <v>11</v>
      </c>
      <c r="B13" s="63" t="str">
        <f>IF(MAESTRO!B15="","",MAESTRO!B15)</f>
        <v/>
      </c>
      <c r="C13" s="55"/>
      <c r="D13" s="16"/>
      <c r="E13" s="16"/>
      <c r="F13" s="55"/>
      <c r="G13" s="16"/>
      <c r="H13" s="16"/>
      <c r="I13" s="16"/>
      <c r="J13" s="16"/>
      <c r="K13" s="16"/>
      <c r="L13" s="16"/>
      <c r="M13" s="16"/>
      <c r="N13" s="16"/>
      <c r="O13" s="16"/>
      <c r="P13" s="16"/>
      <c r="Q13" s="16"/>
      <c r="R13" s="16"/>
      <c r="S13" s="16"/>
      <c r="T13" s="16"/>
      <c r="U13" s="16"/>
      <c r="V13" s="16"/>
      <c r="W13" s="16"/>
      <c r="X13" s="16"/>
      <c r="Y13" s="22"/>
      <c r="Z13" s="22"/>
      <c r="AA13" s="22"/>
      <c r="AB13" s="22"/>
      <c r="AC13" s="22"/>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4"/>
      <c r="BI13" s="4">
        <f t="shared" si="0"/>
        <v>0</v>
      </c>
      <c r="BJ13" s="4">
        <f t="shared" si="1"/>
        <v>0</v>
      </c>
      <c r="BK13" s="4"/>
      <c r="BL13" s="3">
        <v>11</v>
      </c>
    </row>
    <row r="14" spans="1:64">
      <c r="A14" s="1">
        <v>12</v>
      </c>
      <c r="B14" s="63" t="str">
        <f>IF(MAESTRO!B16="","",MAESTRO!B16)</f>
        <v/>
      </c>
      <c r="C14" s="55"/>
      <c r="D14" s="16"/>
      <c r="E14" s="16"/>
      <c r="F14" s="55"/>
      <c r="G14" s="16"/>
      <c r="H14" s="16"/>
      <c r="I14" s="16"/>
      <c r="J14" s="16"/>
      <c r="K14" s="16"/>
      <c r="L14" s="16"/>
      <c r="M14" s="16"/>
      <c r="N14" s="16"/>
      <c r="O14" s="16"/>
      <c r="P14" s="16"/>
      <c r="Q14" s="16"/>
      <c r="R14" s="16"/>
      <c r="S14" s="16"/>
      <c r="T14" s="16"/>
      <c r="U14" s="16"/>
      <c r="V14" s="16"/>
      <c r="W14" s="16"/>
      <c r="X14" s="16"/>
      <c r="Y14" s="22"/>
      <c r="Z14" s="22"/>
      <c r="AA14" s="22"/>
      <c r="AB14" s="22"/>
      <c r="AC14" s="22"/>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4"/>
      <c r="BI14" s="4">
        <f t="shared" si="0"/>
        <v>0</v>
      </c>
      <c r="BJ14" s="4">
        <f t="shared" si="1"/>
        <v>0</v>
      </c>
      <c r="BK14" s="4"/>
      <c r="BL14" s="3">
        <v>12</v>
      </c>
    </row>
    <row r="15" spans="1:64">
      <c r="A15" s="1">
        <v>13</v>
      </c>
      <c r="B15" s="63" t="str">
        <f>IF(MAESTRO!B17="","",MAESTRO!B17)</f>
        <v/>
      </c>
      <c r="C15" s="55"/>
      <c r="D15" s="16"/>
      <c r="E15" s="16"/>
      <c r="F15" s="55"/>
      <c r="G15" s="16"/>
      <c r="H15" s="16"/>
      <c r="I15" s="16"/>
      <c r="J15" s="16"/>
      <c r="K15" s="16"/>
      <c r="L15" s="16"/>
      <c r="M15" s="16"/>
      <c r="N15" s="16"/>
      <c r="O15" s="16"/>
      <c r="P15" s="16"/>
      <c r="Q15" s="16"/>
      <c r="R15" s="16"/>
      <c r="S15" s="16"/>
      <c r="T15" s="16"/>
      <c r="U15" s="16"/>
      <c r="V15" s="16"/>
      <c r="W15" s="16"/>
      <c r="X15" s="16"/>
      <c r="Y15" s="22"/>
      <c r="Z15" s="22"/>
      <c r="AA15" s="22"/>
      <c r="AB15" s="22"/>
      <c r="AC15" s="22"/>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4"/>
      <c r="BI15" s="4">
        <f t="shared" si="0"/>
        <v>0</v>
      </c>
      <c r="BJ15" s="4">
        <f t="shared" si="1"/>
        <v>0</v>
      </c>
      <c r="BK15" s="4"/>
      <c r="BL15" s="3">
        <v>13</v>
      </c>
    </row>
    <row r="16" spans="1:64">
      <c r="A16" s="1">
        <v>14</v>
      </c>
      <c r="B16" s="63" t="str">
        <f>IF(MAESTRO!B18="","",MAESTRO!B18)</f>
        <v/>
      </c>
      <c r="C16" s="55"/>
      <c r="D16" s="16"/>
      <c r="E16" s="16"/>
      <c r="F16" s="55"/>
      <c r="G16" s="16"/>
      <c r="H16" s="16"/>
      <c r="I16" s="16"/>
      <c r="J16" s="16"/>
      <c r="K16" s="16"/>
      <c r="L16" s="16"/>
      <c r="M16" s="16"/>
      <c r="N16" s="16"/>
      <c r="O16" s="16"/>
      <c r="P16" s="16"/>
      <c r="Q16" s="16"/>
      <c r="R16" s="16"/>
      <c r="S16" s="16"/>
      <c r="T16" s="16"/>
      <c r="U16" s="16"/>
      <c r="V16" s="16"/>
      <c r="W16" s="16"/>
      <c r="X16" s="16"/>
      <c r="Y16" s="22"/>
      <c r="Z16" s="22"/>
      <c r="AA16" s="22"/>
      <c r="AB16" s="22"/>
      <c r="AC16" s="22"/>
      <c r="AD16" s="16"/>
      <c r="AE16" s="16"/>
      <c r="AF16" s="16"/>
      <c r="AG16" s="16"/>
      <c r="AH16" s="16"/>
      <c r="AI16" s="16"/>
      <c r="AJ16" s="16"/>
      <c r="AK16" s="16"/>
      <c r="AL16" s="16"/>
      <c r="AM16" s="16"/>
      <c r="AN16" s="16"/>
      <c r="AO16" s="16"/>
      <c r="AP16" s="16"/>
      <c r="AQ16" s="16"/>
      <c r="AS16" s="16"/>
      <c r="AT16" s="16"/>
      <c r="AU16" s="16"/>
      <c r="AV16" s="16"/>
      <c r="AW16" s="16"/>
      <c r="AX16" s="16"/>
      <c r="AY16" s="16"/>
      <c r="AZ16" s="16"/>
      <c r="BA16" s="16"/>
      <c r="BB16" s="16"/>
      <c r="BC16" s="16"/>
      <c r="BD16" s="16"/>
      <c r="BE16" s="16"/>
      <c r="BF16" s="16"/>
      <c r="BG16" s="16"/>
      <c r="BH16" s="4"/>
      <c r="BI16" s="4">
        <f t="shared" si="0"/>
        <v>0</v>
      </c>
      <c r="BJ16" s="4">
        <f t="shared" si="1"/>
        <v>0</v>
      </c>
      <c r="BK16" s="4"/>
      <c r="BL16" s="3">
        <v>14</v>
      </c>
    </row>
    <row r="17" spans="1:64">
      <c r="A17" s="1">
        <v>15</v>
      </c>
      <c r="B17" s="63" t="str">
        <f>IF(MAESTRO!B19="","",MAESTRO!B19)</f>
        <v/>
      </c>
      <c r="C17" s="55"/>
      <c r="D17" s="16"/>
      <c r="E17" s="16"/>
      <c r="F17" s="55"/>
      <c r="G17" s="16"/>
      <c r="H17" s="16"/>
      <c r="I17" s="16"/>
      <c r="J17" s="16"/>
      <c r="K17" s="16"/>
      <c r="L17" s="16"/>
      <c r="M17" s="16"/>
      <c r="N17" s="16"/>
      <c r="O17" s="16"/>
      <c r="P17" s="16"/>
      <c r="Q17" s="16"/>
      <c r="R17" s="16"/>
      <c r="S17" s="16"/>
      <c r="T17" s="16"/>
      <c r="U17" s="16"/>
      <c r="V17" s="16"/>
      <c r="W17" s="16"/>
      <c r="X17" s="16"/>
      <c r="Y17" s="22"/>
      <c r="Z17" s="22"/>
      <c r="AA17" s="22"/>
      <c r="AB17" s="22"/>
      <c r="AC17" s="22"/>
      <c r="AD17" s="16"/>
      <c r="AE17" s="16"/>
      <c r="AF17" s="16"/>
      <c r="AG17" s="16"/>
      <c r="AH17" s="16"/>
      <c r="AI17" s="16"/>
      <c r="AJ17" s="16"/>
      <c r="AK17" s="16"/>
      <c r="AL17" s="16"/>
      <c r="AM17" s="16"/>
      <c r="AN17" s="16"/>
      <c r="AO17" s="16"/>
      <c r="AP17" s="16"/>
      <c r="AQ17" s="16"/>
      <c r="AS17" s="16"/>
      <c r="AT17" s="16"/>
      <c r="AU17" s="16"/>
      <c r="AV17" s="16"/>
      <c r="AW17" s="16"/>
      <c r="AX17" s="16"/>
      <c r="AY17" s="16"/>
      <c r="AZ17" s="16"/>
      <c r="BA17" s="16"/>
      <c r="BB17" s="16"/>
      <c r="BC17" s="16"/>
      <c r="BD17" s="16"/>
      <c r="BE17" s="16"/>
      <c r="BF17" s="16"/>
      <c r="BG17" s="16"/>
      <c r="BH17" s="4"/>
      <c r="BI17" s="4">
        <f t="shared" si="0"/>
        <v>0</v>
      </c>
      <c r="BJ17" s="4">
        <f t="shared" si="1"/>
        <v>0</v>
      </c>
      <c r="BK17" s="4"/>
      <c r="BL17" s="3">
        <v>15</v>
      </c>
    </row>
    <row r="18" spans="1:64">
      <c r="A18" s="1">
        <v>16</v>
      </c>
      <c r="B18" s="63" t="str">
        <f>IF(MAESTRO!B20="","",MAESTRO!B20)</f>
        <v/>
      </c>
      <c r="C18" s="55"/>
      <c r="D18" s="16"/>
      <c r="E18" s="16"/>
      <c r="F18" s="55"/>
      <c r="G18" s="16"/>
      <c r="H18" s="16"/>
      <c r="I18" s="16"/>
      <c r="J18" s="16"/>
      <c r="K18" s="16"/>
      <c r="L18" s="16"/>
      <c r="M18" s="16"/>
      <c r="N18" s="16"/>
      <c r="O18" s="16"/>
      <c r="P18" s="16"/>
      <c r="Q18" s="16"/>
      <c r="R18" s="16"/>
      <c r="S18" s="16"/>
      <c r="T18" s="16"/>
      <c r="U18" s="16"/>
      <c r="V18" s="16"/>
      <c r="W18" s="16"/>
      <c r="X18" s="16"/>
      <c r="Y18" s="22"/>
      <c r="Z18" s="22"/>
      <c r="AA18" s="22"/>
      <c r="AB18" s="22"/>
      <c r="AC18" s="22"/>
      <c r="AD18" s="16"/>
      <c r="AE18" s="16"/>
      <c r="AF18" s="16"/>
      <c r="AG18" s="16"/>
      <c r="AH18" s="16"/>
      <c r="AI18" s="16"/>
      <c r="AJ18" s="16"/>
      <c r="AK18" s="16"/>
      <c r="AL18" s="16"/>
      <c r="AM18" s="16"/>
      <c r="AN18" s="16"/>
      <c r="AO18" s="16"/>
      <c r="AP18" s="16"/>
      <c r="AQ18" s="16"/>
      <c r="AS18" s="16"/>
      <c r="AT18" s="16"/>
      <c r="AU18" s="16"/>
      <c r="AV18" s="16"/>
      <c r="AW18" s="16"/>
      <c r="AX18" s="16"/>
      <c r="AY18" s="16"/>
      <c r="AZ18" s="16"/>
      <c r="BA18" s="16"/>
      <c r="BB18" s="16"/>
      <c r="BC18" s="16"/>
      <c r="BD18" s="16"/>
      <c r="BE18" s="16"/>
      <c r="BF18" s="16"/>
      <c r="BG18" s="16"/>
      <c r="BH18" s="4"/>
      <c r="BI18" s="4">
        <f t="shared" si="0"/>
        <v>0</v>
      </c>
      <c r="BJ18" s="4">
        <f t="shared" si="1"/>
        <v>0</v>
      </c>
      <c r="BK18" s="4"/>
      <c r="BL18" s="3">
        <v>16</v>
      </c>
    </row>
    <row r="19" spans="1:64">
      <c r="A19" s="1">
        <v>17</v>
      </c>
      <c r="B19" s="63" t="str">
        <f>IF(MAESTRO!B21="","",MAESTRO!B21)</f>
        <v/>
      </c>
      <c r="C19" s="55"/>
      <c r="D19" s="16"/>
      <c r="E19" s="16"/>
      <c r="F19" s="55"/>
      <c r="G19" s="16"/>
      <c r="H19" s="16"/>
      <c r="I19" s="16"/>
      <c r="J19" s="16"/>
      <c r="K19" s="16"/>
      <c r="L19" s="16"/>
      <c r="M19" s="16"/>
      <c r="N19" s="16"/>
      <c r="O19" s="16"/>
      <c r="P19" s="16"/>
      <c r="Q19" s="16"/>
      <c r="R19" s="16"/>
      <c r="S19" s="16"/>
      <c r="T19" s="16"/>
      <c r="U19" s="16"/>
      <c r="V19" s="16"/>
      <c r="W19" s="16"/>
      <c r="X19" s="16"/>
      <c r="Y19" s="22"/>
      <c r="Z19" s="22"/>
      <c r="AA19" s="22"/>
      <c r="AB19" s="22"/>
      <c r="AC19" s="22"/>
      <c r="AD19" s="16"/>
      <c r="AE19" s="16"/>
      <c r="AF19" s="16"/>
      <c r="AG19" s="16"/>
      <c r="AH19" s="16"/>
      <c r="AI19" s="16"/>
      <c r="AJ19" s="16"/>
      <c r="AK19" s="22"/>
      <c r="AL19" s="16"/>
      <c r="AM19" s="16"/>
      <c r="AN19" s="16"/>
      <c r="AO19" s="16"/>
      <c r="AP19" s="16"/>
      <c r="AQ19" s="16"/>
      <c r="AR19" s="16"/>
      <c r="AS19" s="16"/>
      <c r="AT19" s="16"/>
      <c r="AU19" s="16"/>
      <c r="AV19" s="16"/>
      <c r="AW19" s="16"/>
      <c r="AX19" s="16"/>
      <c r="AY19" s="16"/>
      <c r="AZ19" s="16"/>
      <c r="BA19" s="16"/>
      <c r="BB19" s="16"/>
      <c r="BC19" s="16"/>
      <c r="BD19" s="16"/>
      <c r="BE19" s="16"/>
      <c r="BF19" s="16"/>
      <c r="BG19" s="16"/>
      <c r="BH19" s="4"/>
      <c r="BI19" s="4">
        <f t="shared" si="0"/>
        <v>0</v>
      </c>
      <c r="BJ19" s="4">
        <f t="shared" si="1"/>
        <v>0</v>
      </c>
      <c r="BK19" s="4"/>
      <c r="BL19" s="3">
        <v>17</v>
      </c>
    </row>
    <row r="20" spans="1:64">
      <c r="A20" s="1">
        <v>18</v>
      </c>
      <c r="B20" s="63" t="str">
        <f>IF(MAESTRO!B22="","",MAESTRO!B22)</f>
        <v/>
      </c>
      <c r="C20" s="55"/>
      <c r="D20" s="16"/>
      <c r="E20" s="16"/>
      <c r="F20" s="55"/>
      <c r="G20" s="16"/>
      <c r="H20" s="16"/>
      <c r="I20" s="16"/>
      <c r="J20" s="16"/>
      <c r="K20" s="16"/>
      <c r="L20" s="16"/>
      <c r="M20" s="16"/>
      <c r="N20" s="16"/>
      <c r="O20" s="16"/>
      <c r="P20" s="16"/>
      <c r="Q20" s="16"/>
      <c r="R20" s="16"/>
      <c r="S20" s="16"/>
      <c r="T20" s="16"/>
      <c r="U20" s="16"/>
      <c r="V20" s="16"/>
      <c r="W20" s="16"/>
      <c r="X20" s="16"/>
      <c r="Y20" s="22"/>
      <c r="Z20" s="22"/>
      <c r="AA20" s="22"/>
      <c r="AB20" s="22"/>
      <c r="AC20" s="22"/>
      <c r="AD20" s="16"/>
      <c r="AE20" s="16"/>
      <c r="AF20" s="16"/>
      <c r="AG20" s="16"/>
      <c r="AH20" s="16"/>
      <c r="AI20" s="16"/>
      <c r="AJ20" s="16"/>
      <c r="AK20" s="22"/>
      <c r="AL20" s="16"/>
      <c r="AM20" s="16"/>
      <c r="AN20" s="16"/>
      <c r="AO20" s="16"/>
      <c r="AP20" s="16"/>
      <c r="AQ20" s="16"/>
      <c r="AR20" s="16"/>
      <c r="AS20" s="16"/>
      <c r="AT20" s="16"/>
      <c r="AU20" s="16"/>
      <c r="AV20" s="16"/>
      <c r="AW20" s="16"/>
      <c r="AX20" s="16"/>
      <c r="AY20" s="16"/>
      <c r="AZ20" s="16"/>
      <c r="BA20" s="16"/>
      <c r="BB20" s="16"/>
      <c r="BC20" s="16"/>
      <c r="BD20" s="16"/>
      <c r="BE20" s="16"/>
      <c r="BF20" s="16"/>
      <c r="BG20" s="16"/>
      <c r="BH20" s="4"/>
      <c r="BI20" s="4">
        <f t="shared" si="0"/>
        <v>0</v>
      </c>
      <c r="BJ20" s="4">
        <f t="shared" si="1"/>
        <v>0</v>
      </c>
      <c r="BK20" s="4"/>
      <c r="BL20" s="3">
        <v>18</v>
      </c>
    </row>
    <row r="21" spans="1:64">
      <c r="A21" s="1">
        <v>19</v>
      </c>
      <c r="B21" s="63" t="str">
        <f>IF(MAESTRO!B23="","",MAESTRO!B23)</f>
        <v/>
      </c>
      <c r="C21" s="55"/>
      <c r="D21" s="16"/>
      <c r="E21" s="16"/>
      <c r="F21" s="55"/>
      <c r="G21" s="16"/>
      <c r="H21" s="16"/>
      <c r="I21" s="16"/>
      <c r="J21" s="16"/>
      <c r="K21" s="16"/>
      <c r="L21" s="16"/>
      <c r="M21" s="16"/>
      <c r="N21" s="16"/>
      <c r="O21" s="16"/>
      <c r="P21" s="16"/>
      <c r="Q21" s="16"/>
      <c r="R21" s="16"/>
      <c r="S21" s="16"/>
      <c r="T21" s="16"/>
      <c r="U21" s="16"/>
      <c r="V21" s="16"/>
      <c r="W21" s="16"/>
      <c r="X21" s="16"/>
      <c r="Y21" s="22"/>
      <c r="Z21" s="22"/>
      <c r="AA21" s="22"/>
      <c r="AB21" s="22"/>
      <c r="AC21" s="22"/>
      <c r="AD21" s="16"/>
      <c r="AE21" s="16"/>
      <c r="AF21" s="16"/>
      <c r="AG21" s="16"/>
      <c r="AH21" s="16"/>
      <c r="AI21" s="16"/>
      <c r="AJ21" s="16"/>
      <c r="AK21" s="22"/>
      <c r="AL21" s="16"/>
      <c r="AM21" s="16"/>
      <c r="AN21" s="16"/>
      <c r="AO21" s="16"/>
      <c r="AP21" s="16"/>
      <c r="AQ21" s="16"/>
      <c r="AR21" s="16"/>
      <c r="AS21" s="16"/>
      <c r="AT21" s="16"/>
      <c r="AU21" s="16"/>
      <c r="AV21" s="16"/>
      <c r="AW21" s="16"/>
      <c r="AX21" s="16"/>
      <c r="AY21" s="16"/>
      <c r="AZ21" s="16"/>
      <c r="BA21" s="16"/>
      <c r="BB21" s="16"/>
      <c r="BC21" s="16"/>
      <c r="BD21" s="16"/>
      <c r="BE21" s="16"/>
      <c r="BF21" s="16"/>
      <c r="BG21" s="16"/>
      <c r="BH21" s="4"/>
      <c r="BI21" s="4">
        <f t="shared" si="0"/>
        <v>0</v>
      </c>
      <c r="BJ21" s="4">
        <f t="shared" si="1"/>
        <v>0</v>
      </c>
      <c r="BK21" s="4"/>
      <c r="BL21" s="3">
        <v>19</v>
      </c>
    </row>
    <row r="22" spans="1:64">
      <c r="A22" s="1">
        <v>20</v>
      </c>
      <c r="B22" s="63" t="str">
        <f>IF(MAESTRO!B24="","",MAESTRO!B24)</f>
        <v/>
      </c>
      <c r="C22" s="55"/>
      <c r="D22" s="16"/>
      <c r="E22" s="16"/>
      <c r="F22" s="55"/>
      <c r="G22" s="16"/>
      <c r="H22" s="16"/>
      <c r="I22" s="16"/>
      <c r="J22" s="16"/>
      <c r="K22" s="16"/>
      <c r="L22" s="16"/>
      <c r="M22" s="16"/>
      <c r="N22" s="16"/>
      <c r="O22" s="16"/>
      <c r="P22" s="16"/>
      <c r="Q22" s="16"/>
      <c r="R22" s="16"/>
      <c r="S22" s="16"/>
      <c r="T22" s="16"/>
      <c r="U22" s="16"/>
      <c r="V22" s="16"/>
      <c r="W22" s="16"/>
      <c r="X22" s="16"/>
      <c r="Y22" s="22"/>
      <c r="Z22" s="22"/>
      <c r="AA22" s="22"/>
      <c r="AB22" s="22"/>
      <c r="AC22" s="22"/>
      <c r="AD22" s="16"/>
      <c r="AE22" s="16"/>
      <c r="AF22" s="16"/>
      <c r="AG22" s="16"/>
      <c r="AH22" s="16"/>
      <c r="AI22" s="16"/>
      <c r="AJ22" s="16"/>
      <c r="AK22" s="22"/>
      <c r="AL22" s="16"/>
      <c r="AM22" s="16"/>
      <c r="AN22" s="16"/>
      <c r="AO22" s="16"/>
      <c r="AP22" s="16"/>
      <c r="AQ22" s="16"/>
      <c r="AR22" s="16"/>
      <c r="AS22" s="16"/>
      <c r="AT22" s="16"/>
      <c r="AU22" s="16"/>
      <c r="AV22" s="16"/>
      <c r="AW22" s="16"/>
      <c r="AX22" s="16"/>
      <c r="AY22" s="16"/>
      <c r="AZ22" s="16"/>
      <c r="BA22" s="16"/>
      <c r="BB22" s="16"/>
      <c r="BC22" s="16"/>
      <c r="BD22" s="16"/>
      <c r="BE22" s="16"/>
      <c r="BF22" s="16"/>
      <c r="BG22" s="16"/>
      <c r="BH22" s="4"/>
      <c r="BI22" s="4">
        <f t="shared" si="0"/>
        <v>0</v>
      </c>
      <c r="BJ22" s="4">
        <f t="shared" si="1"/>
        <v>0</v>
      </c>
      <c r="BK22" s="4"/>
      <c r="BL22" s="3">
        <v>20</v>
      </c>
    </row>
    <row r="23" spans="1:64">
      <c r="A23" s="1">
        <v>21</v>
      </c>
      <c r="B23" s="63" t="str">
        <f>IF(MAESTRO!B25="","",MAESTRO!B25)</f>
        <v/>
      </c>
      <c r="C23" s="55"/>
      <c r="D23" s="16"/>
      <c r="E23" s="16"/>
      <c r="F23" s="55"/>
      <c r="G23" s="16"/>
      <c r="H23" s="16"/>
      <c r="I23" s="16"/>
      <c r="J23" s="16"/>
      <c r="K23" s="16"/>
      <c r="L23" s="16"/>
      <c r="M23" s="16"/>
      <c r="N23" s="16"/>
      <c r="O23" s="16"/>
      <c r="P23" s="16"/>
      <c r="Q23" s="16"/>
      <c r="R23" s="16"/>
      <c r="S23" s="16"/>
      <c r="T23" s="16"/>
      <c r="U23" s="16"/>
      <c r="V23" s="16"/>
      <c r="W23" s="16"/>
      <c r="X23" s="16"/>
      <c r="Y23" s="22"/>
      <c r="Z23" s="22"/>
      <c r="AA23" s="22"/>
      <c r="AB23" s="22"/>
      <c r="AC23" s="22"/>
      <c r="AD23" s="16"/>
      <c r="AE23" s="16"/>
      <c r="AF23" s="16"/>
      <c r="AG23" s="16"/>
      <c r="AH23" s="16"/>
      <c r="AI23" s="16"/>
      <c r="AJ23" s="16"/>
      <c r="AK23" s="22"/>
      <c r="AL23" s="16"/>
      <c r="AM23" s="16"/>
      <c r="AN23" s="16"/>
      <c r="AO23" s="16"/>
      <c r="AP23" s="16"/>
      <c r="AQ23" s="16"/>
      <c r="AR23" s="16"/>
      <c r="AS23" s="16"/>
      <c r="AT23" s="16"/>
      <c r="AU23" s="16"/>
      <c r="AV23" s="16"/>
      <c r="AW23" s="16"/>
      <c r="AX23" s="16"/>
      <c r="AY23" s="16"/>
      <c r="AZ23" s="16"/>
      <c r="BA23" s="16"/>
      <c r="BB23" s="16"/>
      <c r="BC23" s="16"/>
      <c r="BD23" s="16"/>
      <c r="BE23" s="16"/>
      <c r="BF23" s="16"/>
      <c r="BG23" s="16"/>
      <c r="BH23" s="4"/>
      <c r="BI23" s="4">
        <f t="shared" si="0"/>
        <v>0</v>
      </c>
      <c r="BJ23" s="4">
        <f t="shared" si="1"/>
        <v>0</v>
      </c>
      <c r="BK23" s="4"/>
      <c r="BL23" s="3">
        <v>21</v>
      </c>
    </row>
    <row r="24" spans="1:64">
      <c r="A24" s="1">
        <v>22</v>
      </c>
      <c r="B24" s="63" t="str">
        <f>IF(MAESTRO!B26="","",MAESTRO!B26)</f>
        <v/>
      </c>
      <c r="C24" s="55"/>
      <c r="D24" s="16"/>
      <c r="E24" s="16"/>
      <c r="F24" s="55"/>
      <c r="G24" s="16"/>
      <c r="H24" s="16"/>
      <c r="I24" s="16"/>
      <c r="J24" s="16"/>
      <c r="K24" s="16"/>
      <c r="L24" s="16"/>
      <c r="M24" s="16"/>
      <c r="N24" s="16"/>
      <c r="O24" s="16"/>
      <c r="P24" s="16"/>
      <c r="Q24" s="16"/>
      <c r="R24" s="16"/>
      <c r="S24" s="16"/>
      <c r="T24" s="16"/>
      <c r="U24" s="16"/>
      <c r="V24" s="16"/>
      <c r="W24" s="16"/>
      <c r="X24" s="16"/>
      <c r="Y24" s="22"/>
      <c r="Z24" s="22"/>
      <c r="AA24" s="22"/>
      <c r="AB24" s="22"/>
      <c r="AC24" s="22"/>
      <c r="AD24" s="16"/>
      <c r="AE24" s="16"/>
      <c r="AF24" s="16"/>
      <c r="AG24" s="16"/>
      <c r="AH24" s="16"/>
      <c r="AI24" s="16"/>
      <c r="AJ24" s="16"/>
      <c r="AK24" s="22"/>
      <c r="AL24" s="16"/>
      <c r="AM24" s="16"/>
      <c r="AN24" s="16"/>
      <c r="AO24" s="16"/>
      <c r="AP24" s="16"/>
      <c r="AQ24" s="16"/>
      <c r="AR24" s="16"/>
      <c r="AS24" s="16"/>
      <c r="AT24" s="16"/>
      <c r="AU24" s="16"/>
      <c r="AV24" s="16"/>
      <c r="AW24" s="16"/>
      <c r="AX24" s="16"/>
      <c r="AY24" s="16"/>
      <c r="AZ24" s="16"/>
      <c r="BA24" s="16"/>
      <c r="BB24" s="16"/>
      <c r="BC24" s="16"/>
      <c r="BD24" s="16"/>
      <c r="BE24" s="16"/>
      <c r="BF24" s="16"/>
      <c r="BG24" s="16"/>
      <c r="BH24" s="4"/>
      <c r="BI24" s="4">
        <f t="shared" si="0"/>
        <v>0</v>
      </c>
      <c r="BJ24" s="4">
        <f t="shared" si="1"/>
        <v>0</v>
      </c>
      <c r="BK24" s="4"/>
      <c r="BL24" s="3">
        <v>22</v>
      </c>
    </row>
    <row r="25" spans="1:64">
      <c r="A25" s="1">
        <v>23</v>
      </c>
      <c r="B25" s="63" t="str">
        <f>IF(MAESTRO!B27="","",MAESTRO!B27)</f>
        <v/>
      </c>
      <c r="C25" s="55"/>
      <c r="D25" s="16"/>
      <c r="E25" s="16"/>
      <c r="F25" s="55"/>
      <c r="G25" s="16"/>
      <c r="H25" s="16"/>
      <c r="I25" s="16"/>
      <c r="J25" s="16"/>
      <c r="K25" s="16"/>
      <c r="L25" s="16"/>
      <c r="M25" s="16"/>
      <c r="N25" s="16"/>
      <c r="O25" s="16"/>
      <c r="P25" s="16"/>
      <c r="Q25" s="16"/>
      <c r="R25" s="16"/>
      <c r="S25" s="16"/>
      <c r="T25" s="16"/>
      <c r="U25" s="16"/>
      <c r="V25" s="16"/>
      <c r="W25" s="16"/>
      <c r="X25" s="16"/>
      <c r="Y25" s="22"/>
      <c r="Z25" s="22"/>
      <c r="AA25" s="22"/>
      <c r="AB25" s="22"/>
      <c r="AC25" s="22"/>
      <c r="AD25" s="16"/>
      <c r="AE25" s="16"/>
      <c r="AF25" s="16"/>
      <c r="AG25" s="16"/>
      <c r="AH25" s="16"/>
      <c r="AI25" s="16"/>
      <c r="AJ25" s="16"/>
      <c r="AK25" s="22"/>
      <c r="AL25" s="16"/>
      <c r="AM25" s="16"/>
      <c r="AN25" s="16"/>
      <c r="AO25" s="16"/>
      <c r="AP25" s="16"/>
      <c r="AQ25" s="16"/>
      <c r="AR25" s="16"/>
      <c r="AS25" s="16"/>
      <c r="AT25" s="16"/>
      <c r="AU25" s="16"/>
      <c r="AV25" s="16"/>
      <c r="AW25" s="16"/>
      <c r="AX25" s="16"/>
      <c r="AY25" s="16"/>
      <c r="AZ25" s="16"/>
      <c r="BA25" s="16"/>
      <c r="BB25" s="16"/>
      <c r="BC25" s="16"/>
      <c r="BD25" s="16"/>
      <c r="BE25" s="16"/>
      <c r="BF25" s="16"/>
      <c r="BG25" s="16"/>
      <c r="BH25" s="4"/>
      <c r="BI25" s="4">
        <f t="shared" si="0"/>
        <v>0</v>
      </c>
      <c r="BJ25" s="4">
        <f t="shared" si="1"/>
        <v>0</v>
      </c>
      <c r="BK25" s="4"/>
      <c r="BL25" s="3">
        <v>23</v>
      </c>
    </row>
    <row r="26" spans="1:64">
      <c r="A26" s="1">
        <v>24</v>
      </c>
      <c r="B26" s="63" t="str">
        <f>IF(MAESTRO!B28="","",MAESTRO!B28)</f>
        <v/>
      </c>
      <c r="C26" s="55"/>
      <c r="D26" s="16"/>
      <c r="E26" s="16"/>
      <c r="F26" s="55"/>
      <c r="G26" s="16"/>
      <c r="H26" s="16"/>
      <c r="I26" s="16"/>
      <c r="J26" s="16"/>
      <c r="K26" s="16"/>
      <c r="L26" s="16"/>
      <c r="M26" s="16"/>
      <c r="N26" s="16"/>
      <c r="O26" s="16"/>
      <c r="P26" s="16"/>
      <c r="Q26" s="16"/>
      <c r="R26" s="16"/>
      <c r="S26" s="16"/>
      <c r="T26" s="16"/>
      <c r="U26" s="16"/>
      <c r="V26" s="16"/>
      <c r="W26" s="16"/>
      <c r="X26" s="16"/>
      <c r="Y26" s="22"/>
      <c r="Z26" s="22"/>
      <c r="AA26" s="22"/>
      <c r="AB26" s="22"/>
      <c r="AC26" s="22"/>
      <c r="AD26" s="16"/>
      <c r="AE26" s="16"/>
      <c r="AF26" s="16"/>
      <c r="AG26" s="16"/>
      <c r="AH26" s="16"/>
      <c r="AI26" s="16"/>
      <c r="AJ26" s="16"/>
      <c r="AK26" s="22"/>
      <c r="AL26" s="16"/>
      <c r="AM26" s="16"/>
      <c r="AN26" s="16"/>
      <c r="AO26" s="16"/>
      <c r="AP26" s="16"/>
      <c r="AQ26" s="16"/>
      <c r="AR26" s="16"/>
      <c r="AS26" s="16"/>
      <c r="AT26" s="16"/>
      <c r="AU26" s="16"/>
      <c r="AV26" s="16"/>
      <c r="AW26" s="16"/>
      <c r="AX26" s="16"/>
      <c r="AY26" s="16"/>
      <c r="AZ26" s="16"/>
      <c r="BA26" s="16"/>
      <c r="BB26" s="16"/>
      <c r="BC26" s="16"/>
      <c r="BD26" s="16"/>
      <c r="BE26" s="16"/>
      <c r="BF26" s="16"/>
      <c r="BG26" s="16"/>
      <c r="BH26" s="4"/>
      <c r="BI26" s="4">
        <f t="shared" si="0"/>
        <v>0</v>
      </c>
      <c r="BJ26" s="4">
        <f t="shared" si="1"/>
        <v>0</v>
      </c>
      <c r="BK26" s="4"/>
      <c r="BL26" s="3">
        <v>24</v>
      </c>
    </row>
    <row r="27" spans="1:64">
      <c r="A27" s="1">
        <v>25</v>
      </c>
      <c r="B27" s="63" t="str">
        <f>IF(MAESTRO!B29="","",MAESTRO!B29)</f>
        <v/>
      </c>
      <c r="C27" s="55"/>
      <c r="D27" s="16"/>
      <c r="E27" s="16"/>
      <c r="F27" s="55"/>
      <c r="G27" s="16"/>
      <c r="H27" s="16"/>
      <c r="I27" s="16"/>
      <c r="J27" s="16"/>
      <c r="K27" s="16"/>
      <c r="L27" s="16"/>
      <c r="M27" s="16"/>
      <c r="N27" s="16"/>
      <c r="O27" s="16"/>
      <c r="P27" s="16"/>
      <c r="Q27" s="16"/>
      <c r="R27" s="16"/>
      <c r="S27" s="16"/>
      <c r="T27" s="16"/>
      <c r="U27" s="16"/>
      <c r="V27" s="16"/>
      <c r="W27" s="16"/>
      <c r="X27" s="16"/>
      <c r="Y27" s="22"/>
      <c r="Z27" s="22"/>
      <c r="AA27" s="22"/>
      <c r="AB27" s="22"/>
      <c r="AC27" s="22"/>
      <c r="AD27" s="16"/>
      <c r="AE27" s="16"/>
      <c r="AF27" s="16"/>
      <c r="AG27" s="16"/>
      <c r="AH27" s="16"/>
      <c r="AI27" s="16"/>
      <c r="AJ27" s="16"/>
      <c r="AK27" s="22"/>
      <c r="AL27" s="16"/>
      <c r="AM27" s="16"/>
      <c r="AN27" s="16"/>
      <c r="AO27" s="16"/>
      <c r="AP27" s="16"/>
      <c r="AQ27" s="16"/>
      <c r="AR27" s="16"/>
      <c r="AS27" s="16"/>
      <c r="AT27" s="16"/>
      <c r="AU27" s="16"/>
      <c r="AV27" s="16"/>
      <c r="AW27" s="16"/>
      <c r="AX27" s="16"/>
      <c r="AY27" s="16"/>
      <c r="AZ27" s="16"/>
      <c r="BA27" s="16"/>
      <c r="BB27" s="16"/>
      <c r="BC27" s="16"/>
      <c r="BD27" s="16"/>
      <c r="BE27" s="16"/>
      <c r="BF27" s="16"/>
      <c r="BG27" s="16"/>
      <c r="BH27" s="4"/>
      <c r="BI27" s="4">
        <f t="shared" si="0"/>
        <v>0</v>
      </c>
      <c r="BJ27" s="4">
        <f t="shared" si="1"/>
        <v>0</v>
      </c>
      <c r="BK27" s="4"/>
      <c r="BL27" s="3">
        <v>25</v>
      </c>
    </row>
    <row r="28" spans="1:64">
      <c r="A28" s="1">
        <v>26</v>
      </c>
      <c r="B28" s="63" t="str">
        <f>IF(MAESTRO!B30="","",MAESTRO!B30)</f>
        <v/>
      </c>
      <c r="C28" s="55"/>
      <c r="D28" s="16"/>
      <c r="E28" s="16"/>
      <c r="F28" s="55"/>
      <c r="G28" s="16"/>
      <c r="H28" s="16"/>
      <c r="I28" s="16"/>
      <c r="J28" s="16"/>
      <c r="K28" s="16"/>
      <c r="L28" s="16"/>
      <c r="M28" s="16"/>
      <c r="N28" s="16"/>
      <c r="O28" s="16"/>
      <c r="P28" s="16"/>
      <c r="Q28" s="16"/>
      <c r="R28" s="16"/>
      <c r="S28" s="16"/>
      <c r="T28" s="16"/>
      <c r="U28" s="16"/>
      <c r="V28" s="16"/>
      <c r="W28" s="16"/>
      <c r="X28" s="16"/>
      <c r="Y28" s="22"/>
      <c r="Z28" s="22"/>
      <c r="AA28" s="22"/>
      <c r="AB28" s="22"/>
      <c r="AC28" s="22"/>
      <c r="AD28" s="16"/>
      <c r="AE28" s="16"/>
      <c r="AF28" s="16"/>
      <c r="AG28" s="16"/>
      <c r="AH28" s="16"/>
      <c r="AI28" s="16"/>
      <c r="AJ28" s="16"/>
      <c r="AK28" s="22"/>
      <c r="AL28" s="16"/>
      <c r="AM28" s="16"/>
      <c r="AN28" s="16"/>
      <c r="AO28" s="16"/>
      <c r="AP28" s="16"/>
      <c r="AQ28" s="16"/>
      <c r="AR28" s="16"/>
      <c r="AS28" s="16"/>
      <c r="AT28" s="16"/>
      <c r="AU28" s="16"/>
      <c r="AV28" s="16"/>
      <c r="AW28" s="16"/>
      <c r="AX28" s="16"/>
      <c r="AY28" s="16"/>
      <c r="AZ28" s="16"/>
      <c r="BA28" s="16"/>
      <c r="BB28" s="16"/>
      <c r="BC28" s="16"/>
      <c r="BD28" s="16"/>
      <c r="BE28" s="16"/>
      <c r="BF28" s="16"/>
      <c r="BG28" s="16"/>
      <c r="BH28" s="4"/>
      <c r="BI28" s="4">
        <f t="shared" si="0"/>
        <v>0</v>
      </c>
      <c r="BJ28" s="4">
        <f t="shared" si="1"/>
        <v>0</v>
      </c>
      <c r="BK28" s="4"/>
      <c r="BL28" s="3">
        <v>26</v>
      </c>
    </row>
    <row r="29" spans="1:64">
      <c r="A29" s="1">
        <v>27</v>
      </c>
      <c r="B29" s="63" t="str">
        <f>IF(MAESTRO!B31="","",MAESTRO!B31)</f>
        <v/>
      </c>
      <c r="C29" s="55"/>
      <c r="D29" s="16"/>
      <c r="E29" s="16"/>
      <c r="F29" s="55"/>
      <c r="G29" s="16"/>
      <c r="H29" s="16"/>
      <c r="I29" s="16"/>
      <c r="J29" s="16"/>
      <c r="K29" s="16"/>
      <c r="L29" s="16"/>
      <c r="M29" s="16"/>
      <c r="N29" s="16"/>
      <c r="O29" s="16"/>
      <c r="P29" s="16"/>
      <c r="Q29" s="16"/>
      <c r="R29" s="16"/>
      <c r="S29" s="16"/>
      <c r="T29" s="16"/>
      <c r="U29" s="16"/>
      <c r="V29" s="16"/>
      <c r="W29" s="16"/>
      <c r="X29" s="16"/>
      <c r="Y29" s="22"/>
      <c r="Z29" s="22"/>
      <c r="AA29" s="22"/>
      <c r="AB29" s="22"/>
      <c r="AC29" s="22"/>
      <c r="AD29" s="16"/>
      <c r="AE29" s="16"/>
      <c r="AF29" s="16"/>
      <c r="AG29" s="16"/>
      <c r="AH29" s="16"/>
      <c r="AI29" s="16"/>
      <c r="AJ29" s="16"/>
      <c r="AK29" s="22"/>
      <c r="AL29" s="16"/>
      <c r="AM29" s="16"/>
      <c r="AN29" s="16"/>
      <c r="AO29" s="16"/>
      <c r="AP29" s="16"/>
      <c r="AQ29" s="16"/>
      <c r="AR29" s="16"/>
      <c r="AS29" s="16"/>
      <c r="AT29" s="16"/>
      <c r="AU29" s="16"/>
      <c r="AV29" s="16"/>
      <c r="AW29" s="16"/>
      <c r="AX29" s="16"/>
      <c r="AY29" s="16"/>
      <c r="AZ29" s="16"/>
      <c r="BA29" s="16"/>
      <c r="BB29" s="16"/>
      <c r="BC29" s="16"/>
      <c r="BD29" s="16"/>
      <c r="BE29" s="16"/>
      <c r="BF29" s="16"/>
      <c r="BG29" s="16"/>
      <c r="BH29" s="4"/>
      <c r="BI29" s="4">
        <f t="shared" si="0"/>
        <v>0</v>
      </c>
      <c r="BJ29" s="4">
        <f t="shared" si="1"/>
        <v>0</v>
      </c>
      <c r="BK29" s="4"/>
      <c r="BL29" s="3">
        <v>27</v>
      </c>
    </row>
    <row r="30" spans="1:64">
      <c r="A30" s="1">
        <v>28</v>
      </c>
      <c r="B30" s="63" t="str">
        <f>IF(MAESTRO!B32="","",MAESTRO!B32)</f>
        <v/>
      </c>
      <c r="C30" s="55"/>
      <c r="D30" s="16"/>
      <c r="E30" s="16"/>
      <c r="F30" s="55"/>
      <c r="G30" s="16"/>
      <c r="H30" s="16"/>
      <c r="I30" s="16"/>
      <c r="J30" s="16"/>
      <c r="K30" s="16"/>
      <c r="L30" s="16"/>
      <c r="M30" s="16"/>
      <c r="N30" s="16"/>
      <c r="O30" s="16"/>
      <c r="P30" s="16"/>
      <c r="Q30" s="16"/>
      <c r="R30" s="16"/>
      <c r="S30" s="16"/>
      <c r="T30" s="16"/>
      <c r="U30" s="16"/>
      <c r="V30" s="16"/>
      <c r="W30" s="16"/>
      <c r="X30" s="16"/>
      <c r="Y30" s="22"/>
      <c r="Z30" s="22"/>
      <c r="AA30" s="22"/>
      <c r="AB30" s="22"/>
      <c r="AC30" s="22"/>
      <c r="AD30" s="16"/>
      <c r="AE30" s="16"/>
      <c r="AF30" s="16"/>
      <c r="AG30" s="16"/>
      <c r="AH30" s="16"/>
      <c r="AI30" s="16"/>
      <c r="AJ30" s="16"/>
      <c r="AK30" s="22"/>
      <c r="AL30" s="16"/>
      <c r="AM30" s="16"/>
      <c r="AN30" s="16"/>
      <c r="AO30" s="16"/>
      <c r="AP30" s="16"/>
      <c r="AQ30" s="16"/>
      <c r="AR30" s="16"/>
      <c r="AS30" s="16"/>
      <c r="AT30" s="16"/>
      <c r="AU30" s="16"/>
      <c r="AV30" s="16"/>
      <c r="AW30" s="16"/>
      <c r="AX30" s="16"/>
      <c r="AY30" s="16"/>
      <c r="AZ30" s="16"/>
      <c r="BA30" s="16"/>
      <c r="BB30" s="16"/>
      <c r="BC30" s="16"/>
      <c r="BD30" s="16"/>
      <c r="BE30" s="16"/>
      <c r="BF30" s="16"/>
      <c r="BG30" s="16"/>
      <c r="BH30" s="4"/>
      <c r="BI30" s="4">
        <f t="shared" si="0"/>
        <v>0</v>
      </c>
      <c r="BJ30" s="4">
        <f t="shared" si="1"/>
        <v>0</v>
      </c>
      <c r="BK30" s="4"/>
      <c r="BL30" s="3">
        <v>28</v>
      </c>
    </row>
    <row r="31" spans="1:64">
      <c r="A31" s="1">
        <v>29</v>
      </c>
      <c r="B31" s="63" t="str">
        <f>IF(MAESTRO!B33="","",MAESTRO!B33)</f>
        <v/>
      </c>
      <c r="C31" s="55"/>
      <c r="D31" s="16"/>
      <c r="E31" s="16"/>
      <c r="F31" s="55"/>
      <c r="G31" s="16"/>
      <c r="H31" s="16"/>
      <c r="I31" s="16"/>
      <c r="J31" s="16"/>
      <c r="K31" s="16"/>
      <c r="L31" s="16"/>
      <c r="M31" s="16"/>
      <c r="N31" s="16"/>
      <c r="O31" s="16"/>
      <c r="P31" s="16"/>
      <c r="Q31" s="16"/>
      <c r="R31" s="16"/>
      <c r="S31" s="16"/>
      <c r="T31" s="16"/>
      <c r="U31" s="16"/>
      <c r="V31" s="16"/>
      <c r="W31" s="16"/>
      <c r="X31" s="16"/>
      <c r="Y31" s="22"/>
      <c r="Z31" s="22"/>
      <c r="AA31" s="22"/>
      <c r="AB31" s="22"/>
      <c r="AC31" s="22"/>
      <c r="AD31" s="16"/>
      <c r="AE31" s="16"/>
      <c r="AF31" s="16"/>
      <c r="AG31" s="16"/>
      <c r="AH31" s="16"/>
      <c r="AI31" s="16"/>
      <c r="AJ31" s="16"/>
      <c r="AK31" s="22"/>
      <c r="AL31" s="16"/>
      <c r="AM31" s="16"/>
      <c r="AN31" s="16"/>
      <c r="AO31" s="16"/>
      <c r="AP31" s="16"/>
      <c r="AQ31" s="16"/>
      <c r="AR31" s="16"/>
      <c r="AS31" s="16"/>
      <c r="AT31" s="16"/>
      <c r="AU31" s="16"/>
      <c r="AV31" s="16"/>
      <c r="AW31" s="16"/>
      <c r="AX31" s="16"/>
      <c r="AY31" s="16"/>
      <c r="AZ31" s="16"/>
      <c r="BA31" s="16"/>
      <c r="BB31" s="16"/>
      <c r="BC31" s="16"/>
      <c r="BD31" s="16"/>
      <c r="BE31" s="16"/>
      <c r="BF31" s="16"/>
      <c r="BG31" s="16"/>
      <c r="BH31" s="4"/>
      <c r="BI31" s="4">
        <f t="shared" si="0"/>
        <v>0</v>
      </c>
      <c r="BJ31" s="4">
        <f t="shared" si="1"/>
        <v>0</v>
      </c>
      <c r="BK31" s="4"/>
      <c r="BL31" s="3">
        <v>29</v>
      </c>
    </row>
    <row r="32" spans="1:64">
      <c r="A32" s="1">
        <v>30</v>
      </c>
      <c r="B32" s="63" t="str">
        <f>IF(MAESTRO!B34="","",MAESTRO!B34)</f>
        <v/>
      </c>
      <c r="C32" s="55"/>
      <c r="D32" s="16"/>
      <c r="E32" s="16"/>
      <c r="F32" s="55"/>
      <c r="G32" s="16"/>
      <c r="H32" s="16"/>
      <c r="I32" s="16"/>
      <c r="J32" s="16"/>
      <c r="K32" s="16"/>
      <c r="L32" s="16"/>
      <c r="M32" s="16"/>
      <c r="N32" s="16"/>
      <c r="O32" s="16"/>
      <c r="P32" s="16"/>
      <c r="Q32" s="16"/>
      <c r="R32" s="16"/>
      <c r="S32" s="16"/>
      <c r="T32" s="16"/>
      <c r="U32" s="16"/>
      <c r="V32" s="16"/>
      <c r="W32" s="16"/>
      <c r="X32" s="16"/>
      <c r="Y32" s="22"/>
      <c r="Z32" s="22"/>
      <c r="AA32" s="22"/>
      <c r="AB32" s="22"/>
      <c r="AC32" s="22"/>
      <c r="AD32" s="16"/>
      <c r="AE32" s="16"/>
      <c r="AF32" s="16"/>
      <c r="AG32" s="16"/>
      <c r="AH32" s="16"/>
      <c r="AI32" s="16"/>
      <c r="AJ32" s="16"/>
      <c r="AK32" s="22"/>
      <c r="AL32" s="16"/>
      <c r="AM32" s="16"/>
      <c r="AN32" s="16"/>
      <c r="AO32" s="16"/>
      <c r="AP32" s="16"/>
      <c r="AQ32" s="16"/>
      <c r="AR32" s="16"/>
      <c r="AS32" s="16"/>
      <c r="AT32" s="16"/>
      <c r="AU32" s="16"/>
      <c r="AV32" s="16"/>
      <c r="AW32" s="16"/>
      <c r="AX32" s="16"/>
      <c r="AY32" s="16"/>
      <c r="AZ32" s="16"/>
      <c r="BA32" s="16"/>
      <c r="BB32" s="16"/>
      <c r="BC32" s="16"/>
      <c r="BD32" s="16"/>
      <c r="BE32" s="16"/>
      <c r="BF32" s="16"/>
      <c r="BG32" s="16"/>
      <c r="BH32" s="4"/>
      <c r="BI32" s="4">
        <f t="shared" si="0"/>
        <v>0</v>
      </c>
      <c r="BJ32" s="4">
        <f t="shared" si="1"/>
        <v>0</v>
      </c>
      <c r="BK32" s="4"/>
      <c r="BL32" s="3">
        <v>30</v>
      </c>
    </row>
    <row r="33" spans="1:64">
      <c r="A33" s="1">
        <v>31</v>
      </c>
      <c r="B33" s="63" t="str">
        <f>IF(MAESTRO!B35="","",MAESTRO!B35)</f>
        <v/>
      </c>
      <c r="C33" s="55"/>
      <c r="D33" s="16"/>
      <c r="E33" s="16"/>
      <c r="F33" s="55"/>
      <c r="G33" s="16"/>
      <c r="H33" s="16"/>
      <c r="I33" s="16"/>
      <c r="J33" s="16"/>
      <c r="K33" s="16"/>
      <c r="L33" s="16"/>
      <c r="M33" s="16"/>
      <c r="N33" s="16"/>
      <c r="O33" s="16"/>
      <c r="P33" s="16"/>
      <c r="Q33" s="16"/>
      <c r="R33" s="16"/>
      <c r="S33" s="16"/>
      <c r="T33" s="16"/>
      <c r="U33" s="16"/>
      <c r="V33" s="16"/>
      <c r="W33" s="16"/>
      <c r="X33" s="16"/>
      <c r="Y33" s="22"/>
      <c r="Z33" s="22"/>
      <c r="AA33" s="22"/>
      <c r="AB33" s="22"/>
      <c r="AC33" s="22"/>
      <c r="AD33" s="16"/>
      <c r="AE33" s="16"/>
      <c r="AF33" s="16"/>
      <c r="AG33" s="16"/>
      <c r="AH33" s="16"/>
      <c r="AI33" s="16"/>
      <c r="AJ33" s="16"/>
      <c r="AK33" s="22"/>
      <c r="AL33" s="16"/>
      <c r="AM33" s="16"/>
      <c r="AN33" s="16"/>
      <c r="AO33" s="16"/>
      <c r="AP33" s="16"/>
      <c r="AQ33" s="16"/>
      <c r="AR33" s="16"/>
      <c r="AS33" s="16"/>
      <c r="AT33" s="16"/>
      <c r="AU33" s="16"/>
      <c r="AV33" s="16"/>
      <c r="AW33" s="16"/>
      <c r="AX33" s="16"/>
      <c r="AY33" s="16"/>
      <c r="AZ33" s="16"/>
      <c r="BA33" s="16"/>
      <c r="BB33" s="16"/>
      <c r="BC33" s="16"/>
      <c r="BD33" s="16"/>
      <c r="BE33" s="16"/>
      <c r="BF33" s="16"/>
      <c r="BG33" s="16"/>
      <c r="BH33" s="4"/>
      <c r="BI33" s="4">
        <f t="shared" si="0"/>
        <v>0</v>
      </c>
      <c r="BJ33" s="4">
        <f t="shared" si="1"/>
        <v>0</v>
      </c>
      <c r="BK33" s="4"/>
      <c r="BL33" s="3">
        <v>31</v>
      </c>
    </row>
    <row r="34" spans="1:64">
      <c r="A34" s="1">
        <v>32</v>
      </c>
      <c r="B34" s="63" t="str">
        <f>IF(MAESTRO!B36="","",MAESTRO!B36)</f>
        <v/>
      </c>
      <c r="C34" s="55"/>
      <c r="D34" s="16"/>
      <c r="E34" s="16"/>
      <c r="F34" s="55"/>
      <c r="G34" s="16"/>
      <c r="H34" s="16"/>
      <c r="I34" s="16"/>
      <c r="J34" s="16"/>
      <c r="K34" s="16"/>
      <c r="L34" s="16"/>
      <c r="M34" s="16"/>
      <c r="N34" s="16"/>
      <c r="O34" s="16"/>
      <c r="P34" s="16"/>
      <c r="Q34" s="16"/>
      <c r="R34" s="16"/>
      <c r="S34" s="16"/>
      <c r="T34" s="16"/>
      <c r="U34" s="16"/>
      <c r="V34" s="16"/>
      <c r="W34" s="16"/>
      <c r="X34" s="16"/>
      <c r="Y34" s="22"/>
      <c r="Z34" s="22"/>
      <c r="AA34" s="22"/>
      <c r="AB34" s="22"/>
      <c r="AC34" s="22"/>
      <c r="AD34" s="16"/>
      <c r="AE34" s="16"/>
      <c r="AF34" s="16"/>
      <c r="AG34" s="16"/>
      <c r="AH34" s="16"/>
      <c r="AI34" s="16"/>
      <c r="AJ34" s="16"/>
      <c r="AK34" s="22"/>
      <c r="AL34" s="16"/>
      <c r="AM34" s="16"/>
      <c r="AN34" s="16"/>
      <c r="AO34" s="16"/>
      <c r="AP34" s="16"/>
      <c r="AQ34" s="16"/>
      <c r="AR34" s="16"/>
      <c r="AS34" s="16"/>
      <c r="AT34" s="16"/>
      <c r="AU34" s="16"/>
      <c r="AV34" s="16"/>
      <c r="AW34" s="16"/>
      <c r="AX34" s="16"/>
      <c r="AY34" s="16"/>
      <c r="AZ34" s="16"/>
      <c r="BA34" s="16"/>
      <c r="BB34" s="16"/>
      <c r="BC34" s="16"/>
      <c r="BD34" s="16"/>
      <c r="BE34" s="16"/>
      <c r="BF34" s="16"/>
      <c r="BG34" s="16"/>
      <c r="BH34" s="4"/>
      <c r="BI34" s="4">
        <f t="shared" si="0"/>
        <v>0</v>
      </c>
      <c r="BJ34" s="4">
        <f t="shared" si="1"/>
        <v>0</v>
      </c>
      <c r="BK34" s="4"/>
      <c r="BL34" s="3">
        <v>32</v>
      </c>
    </row>
    <row r="35" spans="1:64">
      <c r="A35" s="1">
        <v>33</v>
      </c>
      <c r="B35" s="63" t="str">
        <f>IF(MAESTRO!B37="","",MAESTRO!B37)</f>
        <v/>
      </c>
      <c r="C35" s="55"/>
      <c r="D35" s="16"/>
      <c r="E35" s="16"/>
      <c r="F35" s="55"/>
      <c r="G35" s="16"/>
      <c r="H35" s="16"/>
      <c r="I35" s="16"/>
      <c r="J35" s="16"/>
      <c r="K35" s="16"/>
      <c r="L35" s="16"/>
      <c r="M35" s="16"/>
      <c r="N35" s="16"/>
      <c r="O35" s="16"/>
      <c r="P35" s="16"/>
      <c r="Q35" s="16"/>
      <c r="R35" s="16"/>
      <c r="S35" s="16"/>
      <c r="T35" s="16"/>
      <c r="U35" s="16"/>
      <c r="V35" s="16"/>
      <c r="W35" s="16"/>
      <c r="X35" s="16"/>
      <c r="Y35" s="22"/>
      <c r="Z35" s="22"/>
      <c r="AA35" s="22"/>
      <c r="AB35" s="22"/>
      <c r="AC35" s="22"/>
      <c r="AD35" s="16"/>
      <c r="AE35" s="16"/>
      <c r="AF35" s="16"/>
      <c r="AG35" s="16"/>
      <c r="AH35" s="16"/>
      <c r="AI35" s="16"/>
      <c r="AJ35" s="16"/>
      <c r="AK35" s="22"/>
      <c r="AL35" s="16"/>
      <c r="AM35" s="16"/>
      <c r="AN35" s="16"/>
      <c r="AO35" s="16"/>
      <c r="AP35" s="16"/>
      <c r="AQ35" s="16"/>
      <c r="AR35" s="16"/>
      <c r="AS35" s="16"/>
      <c r="AT35" s="16"/>
      <c r="AU35" s="16"/>
      <c r="AV35" s="16"/>
      <c r="AW35" s="16"/>
      <c r="AX35" s="16"/>
      <c r="AY35" s="16"/>
      <c r="AZ35" s="16"/>
      <c r="BA35" s="16"/>
      <c r="BB35" s="16"/>
      <c r="BC35" s="16"/>
      <c r="BD35" s="16"/>
      <c r="BE35" s="16"/>
      <c r="BF35" s="16"/>
      <c r="BG35" s="16"/>
      <c r="BH35" s="4"/>
      <c r="BI35" s="4">
        <f t="shared" si="0"/>
        <v>0</v>
      </c>
      <c r="BJ35" s="4">
        <f t="shared" si="1"/>
        <v>0</v>
      </c>
      <c r="BK35" s="4"/>
      <c r="BL35" s="3">
        <v>33</v>
      </c>
    </row>
    <row r="36" spans="1:64">
      <c r="A36" s="1">
        <v>34</v>
      </c>
      <c r="B36" s="63" t="str">
        <f>IF(MAESTRO!B38="","",MAESTRO!B38)</f>
        <v/>
      </c>
      <c r="C36" s="55"/>
      <c r="D36" s="16"/>
      <c r="E36" s="16"/>
      <c r="F36" s="55"/>
      <c r="G36" s="16"/>
      <c r="H36" s="16"/>
      <c r="I36" s="16"/>
      <c r="J36" s="16"/>
      <c r="K36" s="16"/>
      <c r="L36" s="16"/>
      <c r="M36" s="16"/>
      <c r="N36" s="16"/>
      <c r="O36" s="16"/>
      <c r="P36" s="16"/>
      <c r="Q36" s="16"/>
      <c r="R36" s="16"/>
      <c r="S36" s="16"/>
      <c r="T36" s="16"/>
      <c r="U36" s="16"/>
      <c r="V36" s="16"/>
      <c r="W36" s="16"/>
      <c r="X36" s="16"/>
      <c r="Y36" s="22"/>
      <c r="Z36" s="22"/>
      <c r="AA36" s="22"/>
      <c r="AB36" s="22"/>
      <c r="AC36" s="22"/>
      <c r="AD36" s="16"/>
      <c r="AE36" s="16"/>
      <c r="AF36" s="16"/>
      <c r="AG36" s="16"/>
      <c r="AH36" s="16"/>
      <c r="AI36" s="16"/>
      <c r="AJ36" s="16"/>
      <c r="AK36" s="22"/>
      <c r="AL36" s="16"/>
      <c r="AM36" s="16"/>
      <c r="AN36" s="16"/>
      <c r="AO36" s="16"/>
      <c r="AP36" s="16"/>
      <c r="AQ36" s="16"/>
      <c r="AR36" s="16"/>
      <c r="AS36" s="16"/>
      <c r="AT36" s="16"/>
      <c r="AU36" s="16"/>
      <c r="AV36" s="16"/>
      <c r="AW36" s="16"/>
      <c r="AX36" s="16"/>
      <c r="AY36" s="16"/>
      <c r="AZ36" s="16"/>
      <c r="BA36" s="16"/>
      <c r="BB36" s="16"/>
      <c r="BC36" s="16"/>
      <c r="BD36" s="16"/>
      <c r="BE36" s="16"/>
      <c r="BF36" s="16"/>
      <c r="BG36" s="16"/>
      <c r="BH36" s="4"/>
      <c r="BI36" s="4">
        <f t="shared" si="0"/>
        <v>0</v>
      </c>
      <c r="BJ36" s="4">
        <f t="shared" si="1"/>
        <v>0</v>
      </c>
      <c r="BK36" s="4"/>
      <c r="BL36" s="3">
        <v>34</v>
      </c>
    </row>
    <row r="37" spans="1:64">
      <c r="A37" s="1">
        <v>35</v>
      </c>
      <c r="B37" s="63" t="str">
        <f>IF(MAESTRO!B39="","",MAESTRO!B39)</f>
        <v/>
      </c>
      <c r="C37" s="55"/>
      <c r="D37" s="16"/>
      <c r="E37" s="16"/>
      <c r="F37" s="55"/>
      <c r="G37" s="16"/>
      <c r="H37" s="16"/>
      <c r="I37" s="16"/>
      <c r="J37" s="16"/>
      <c r="K37" s="16"/>
      <c r="L37" s="16"/>
      <c r="M37" s="16"/>
      <c r="N37" s="16"/>
      <c r="O37" s="16"/>
      <c r="P37" s="16"/>
      <c r="Q37" s="16"/>
      <c r="R37" s="16"/>
      <c r="S37" s="16"/>
      <c r="T37" s="16"/>
      <c r="U37" s="16"/>
      <c r="V37" s="16"/>
      <c r="W37" s="16"/>
      <c r="X37" s="16"/>
      <c r="Y37" s="22"/>
      <c r="Z37" s="22"/>
      <c r="AA37" s="22"/>
      <c r="AB37" s="22"/>
      <c r="AC37" s="22"/>
      <c r="AD37" s="16"/>
      <c r="AE37" s="16"/>
      <c r="AF37" s="16"/>
      <c r="AG37" s="16"/>
      <c r="AH37" s="16"/>
      <c r="AI37" s="16"/>
      <c r="AJ37" s="16"/>
      <c r="AK37" s="22"/>
      <c r="AL37" s="16"/>
      <c r="AM37" s="16"/>
      <c r="AN37" s="16"/>
      <c r="AO37" s="16"/>
      <c r="AP37" s="16"/>
      <c r="AQ37" s="16"/>
      <c r="AR37" s="16"/>
      <c r="AS37" s="16"/>
      <c r="AT37" s="16"/>
      <c r="AU37" s="16"/>
      <c r="AV37" s="16"/>
      <c r="AW37" s="16"/>
      <c r="AX37" s="16"/>
      <c r="AY37" s="16"/>
      <c r="AZ37" s="16"/>
      <c r="BA37" s="16"/>
      <c r="BB37" s="16"/>
      <c r="BC37" s="16"/>
      <c r="BD37" s="16"/>
      <c r="BE37" s="16"/>
      <c r="BF37" s="16"/>
      <c r="BG37" s="16"/>
      <c r="BH37" s="4"/>
      <c r="BI37" s="4">
        <f t="shared" si="0"/>
        <v>0</v>
      </c>
      <c r="BJ37" s="4">
        <f t="shared" si="1"/>
        <v>0</v>
      </c>
      <c r="BK37" s="4"/>
      <c r="BL37" s="3">
        <v>35</v>
      </c>
    </row>
    <row r="38" spans="1:64">
      <c r="A38" s="1">
        <v>36</v>
      </c>
      <c r="B38" s="63" t="str">
        <f>IF(MAESTRO!B40="","",MAESTRO!B40)</f>
        <v/>
      </c>
      <c r="C38" s="55"/>
      <c r="D38" s="16"/>
      <c r="E38" s="16"/>
      <c r="F38" s="55"/>
      <c r="G38" s="16"/>
      <c r="H38" s="16"/>
      <c r="I38" s="16"/>
      <c r="J38" s="16"/>
      <c r="K38" s="16"/>
      <c r="L38" s="16"/>
      <c r="M38" s="16"/>
      <c r="N38" s="16"/>
      <c r="O38" s="16"/>
      <c r="P38" s="16"/>
      <c r="Q38" s="16"/>
      <c r="R38" s="16"/>
      <c r="S38" s="16"/>
      <c r="T38" s="16"/>
      <c r="U38" s="16"/>
      <c r="V38" s="16"/>
      <c r="W38" s="16"/>
      <c r="X38" s="16"/>
      <c r="Y38" s="22"/>
      <c r="Z38" s="22"/>
      <c r="AA38" s="22"/>
      <c r="AB38" s="22"/>
      <c r="AC38" s="22"/>
      <c r="AD38" s="16"/>
      <c r="AE38" s="16"/>
      <c r="AF38" s="16"/>
      <c r="AG38" s="16"/>
      <c r="AH38" s="16"/>
      <c r="AI38" s="16"/>
      <c r="AJ38" s="16"/>
      <c r="AK38" s="22"/>
      <c r="AL38" s="16"/>
      <c r="AM38" s="16"/>
      <c r="AN38" s="16"/>
      <c r="AO38" s="16"/>
      <c r="AP38" s="16"/>
      <c r="AQ38" s="16"/>
      <c r="AR38" s="16"/>
      <c r="AS38" s="16"/>
      <c r="AT38" s="16"/>
      <c r="AU38" s="16"/>
      <c r="AV38" s="16"/>
      <c r="AW38" s="16"/>
      <c r="AX38" s="16"/>
      <c r="AY38" s="16"/>
      <c r="AZ38" s="16"/>
      <c r="BA38" s="16"/>
      <c r="BB38" s="16"/>
      <c r="BC38" s="16"/>
      <c r="BD38" s="16"/>
      <c r="BE38" s="16"/>
      <c r="BF38" s="16"/>
      <c r="BG38" s="16"/>
      <c r="BH38" s="4"/>
      <c r="BI38" s="4">
        <f t="shared" si="0"/>
        <v>0</v>
      </c>
      <c r="BJ38" s="4">
        <f t="shared" si="1"/>
        <v>0</v>
      </c>
      <c r="BK38" s="4"/>
      <c r="BL38" s="3">
        <v>36</v>
      </c>
    </row>
    <row r="39" spans="1:64">
      <c r="A39" s="1">
        <v>37</v>
      </c>
      <c r="B39" s="63" t="str">
        <f>IF(MAESTRO!B41="","",MAESTRO!B41)</f>
        <v/>
      </c>
      <c r="C39" s="55"/>
      <c r="D39" s="16"/>
      <c r="E39" s="16"/>
      <c r="F39" s="55"/>
      <c r="G39" s="16"/>
      <c r="H39" s="16"/>
      <c r="I39" s="16"/>
      <c r="J39" s="16"/>
      <c r="K39" s="16"/>
      <c r="L39" s="16"/>
      <c r="M39" s="16"/>
      <c r="N39" s="16"/>
      <c r="O39" s="16"/>
      <c r="P39" s="16"/>
      <c r="Q39" s="16"/>
      <c r="R39" s="16"/>
      <c r="S39" s="16"/>
      <c r="T39" s="16"/>
      <c r="U39" s="16"/>
      <c r="V39" s="16"/>
      <c r="W39" s="16"/>
      <c r="X39" s="16"/>
      <c r="Y39" s="22"/>
      <c r="Z39" s="22"/>
      <c r="AA39" s="22"/>
      <c r="AB39" s="22"/>
      <c r="AC39" s="22"/>
      <c r="AD39" s="16"/>
      <c r="AE39" s="16"/>
      <c r="AF39" s="16"/>
      <c r="AG39" s="16"/>
      <c r="AH39" s="16"/>
      <c r="AI39" s="16"/>
      <c r="AJ39" s="16"/>
      <c r="AK39" s="22"/>
      <c r="AL39" s="16"/>
      <c r="AM39" s="16"/>
      <c r="AN39" s="16"/>
      <c r="AO39" s="16"/>
      <c r="AP39" s="16"/>
      <c r="AQ39" s="16"/>
      <c r="AR39" s="16"/>
      <c r="AS39" s="16"/>
      <c r="AT39" s="16"/>
      <c r="AU39" s="16"/>
      <c r="AV39" s="16"/>
      <c r="AW39" s="16"/>
      <c r="AX39" s="16"/>
      <c r="AY39" s="16"/>
      <c r="AZ39" s="16"/>
      <c r="BA39" s="16"/>
      <c r="BB39" s="16"/>
      <c r="BC39" s="16"/>
      <c r="BD39" s="16"/>
      <c r="BE39" s="16"/>
      <c r="BF39" s="16"/>
      <c r="BG39" s="16"/>
      <c r="BH39" s="4"/>
      <c r="BI39" s="4">
        <f t="shared" si="0"/>
        <v>0</v>
      </c>
      <c r="BJ39" s="4">
        <f t="shared" si="1"/>
        <v>0</v>
      </c>
      <c r="BK39" s="4"/>
      <c r="BL39" s="3">
        <v>37</v>
      </c>
    </row>
    <row r="40" spans="1:64">
      <c r="A40" s="1">
        <v>38</v>
      </c>
      <c r="B40" s="63" t="str">
        <f>IF(MAESTRO!B42="","",MAESTRO!B42)</f>
        <v/>
      </c>
      <c r="C40" s="55"/>
      <c r="D40" s="16"/>
      <c r="E40" s="16"/>
      <c r="F40" s="55"/>
      <c r="G40" s="16"/>
      <c r="H40" s="16"/>
      <c r="I40" s="16"/>
      <c r="J40" s="16"/>
      <c r="K40" s="16"/>
      <c r="L40" s="16"/>
      <c r="M40" s="16"/>
      <c r="N40" s="16"/>
      <c r="O40" s="16"/>
      <c r="P40" s="16"/>
      <c r="Q40" s="16"/>
      <c r="R40" s="16"/>
      <c r="S40" s="16"/>
      <c r="T40" s="16"/>
      <c r="U40" s="16"/>
      <c r="V40" s="16"/>
      <c r="W40" s="16"/>
      <c r="X40" s="16"/>
      <c r="Y40" s="22"/>
      <c r="Z40" s="22"/>
      <c r="AA40" s="22"/>
      <c r="AB40" s="22"/>
      <c r="AC40" s="22"/>
      <c r="AD40" s="16"/>
      <c r="AE40" s="16"/>
      <c r="AF40" s="16"/>
      <c r="AG40" s="16"/>
      <c r="AH40" s="16"/>
      <c r="AI40" s="16"/>
      <c r="AJ40" s="16"/>
      <c r="AK40" s="22"/>
      <c r="AL40" s="16"/>
      <c r="AM40" s="16"/>
      <c r="AN40" s="16"/>
      <c r="AO40" s="16"/>
      <c r="AP40" s="16"/>
      <c r="AQ40" s="16"/>
      <c r="AR40" s="16"/>
      <c r="AS40" s="16"/>
      <c r="AT40" s="16"/>
      <c r="AU40" s="16"/>
      <c r="AV40" s="16"/>
      <c r="AW40" s="16"/>
      <c r="AX40" s="16"/>
      <c r="AY40" s="16"/>
      <c r="AZ40" s="16"/>
      <c r="BA40" s="16"/>
      <c r="BB40" s="16"/>
      <c r="BC40" s="16"/>
      <c r="BD40" s="16"/>
      <c r="BE40" s="16"/>
      <c r="BF40" s="16"/>
      <c r="BG40" s="16"/>
      <c r="BH40" s="4"/>
      <c r="BI40" s="4">
        <f t="shared" si="0"/>
        <v>0</v>
      </c>
      <c r="BJ40" s="4">
        <f t="shared" si="1"/>
        <v>0</v>
      </c>
      <c r="BK40" s="4"/>
      <c r="BL40" s="3">
        <v>38</v>
      </c>
    </row>
    <row r="41" spans="1:64">
      <c r="A41" s="1">
        <v>39</v>
      </c>
      <c r="B41" s="63" t="str">
        <f>IF(MAESTRO!B43="","",MAESTRO!B43)</f>
        <v/>
      </c>
      <c r="C41" s="16"/>
      <c r="D41" s="16"/>
      <c r="E41" s="16"/>
      <c r="F41" s="16"/>
      <c r="G41" s="16"/>
      <c r="H41" s="16"/>
      <c r="I41" s="16"/>
      <c r="J41" s="16"/>
      <c r="K41" s="16"/>
      <c r="L41" s="16"/>
      <c r="M41" s="16"/>
      <c r="N41" s="16"/>
      <c r="O41" s="16"/>
      <c r="P41" s="16"/>
      <c r="Q41" s="16"/>
      <c r="R41" s="16"/>
      <c r="S41" s="16"/>
      <c r="T41" s="16"/>
      <c r="U41" s="16"/>
      <c r="V41" s="16"/>
      <c r="W41" s="16"/>
      <c r="X41" s="16"/>
      <c r="Y41" s="16"/>
      <c r="Z41" s="16"/>
      <c r="AA41" s="22"/>
      <c r="AB41" s="22"/>
      <c r="AC41" s="22"/>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4"/>
      <c r="BI41" s="4">
        <f>IFERROR(COUNTIF(C41:BH41,"A"),"")</f>
        <v>0</v>
      </c>
      <c r="BJ41" s="4">
        <f t="shared" si="1"/>
        <v>0</v>
      </c>
      <c r="BK41" s="4"/>
      <c r="BL41" s="3">
        <v>39</v>
      </c>
    </row>
    <row r="42" spans="1:64">
      <c r="A42" s="1">
        <v>40</v>
      </c>
      <c r="B42" s="63" t="str">
        <f>IF(MAESTRO!B44="","",MAESTRO!B44)</f>
        <v/>
      </c>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4"/>
      <c r="BI42" s="4">
        <f>IFERROR(COUNTIF(C42:BH42,"A"),"")</f>
        <v>0</v>
      </c>
      <c r="BJ42" s="4">
        <f t="shared" si="1"/>
        <v>0</v>
      </c>
      <c r="BK42" s="4"/>
      <c r="BL42" s="3">
        <v>40</v>
      </c>
    </row>
    <row r="43" spans="1:64">
      <c r="A43" s="6">
        <v>41</v>
      </c>
      <c r="B43" s="4"/>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4"/>
      <c r="BI43" s="4">
        <f>IFERROR(COUNTIF(C43:BH43,"A"),"")</f>
        <v>0</v>
      </c>
      <c r="BJ43" s="4">
        <f t="shared" si="1"/>
        <v>0</v>
      </c>
      <c r="BK43" s="4"/>
      <c r="BL43" s="4">
        <v>41</v>
      </c>
    </row>
    <row r="44" spans="1:64" ht="31.2" customHeight="1">
      <c r="A44" s="154"/>
      <c r="B44" s="149" t="s">
        <v>0</v>
      </c>
      <c r="C44" s="157" t="s">
        <v>6</v>
      </c>
      <c r="D44" s="116"/>
      <c r="E44" s="116"/>
      <c r="F44" s="116"/>
      <c r="G44" s="116"/>
      <c r="H44" s="116"/>
      <c r="I44" s="116"/>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16"/>
      <c r="AQ44" s="116"/>
      <c r="AR44" s="116"/>
      <c r="AS44" s="116"/>
      <c r="AT44" s="116"/>
      <c r="AU44" s="116"/>
      <c r="AV44" s="116"/>
      <c r="AW44" s="116"/>
      <c r="AX44" s="116"/>
      <c r="AY44" s="116"/>
      <c r="AZ44" s="116"/>
      <c r="BA44" s="116"/>
      <c r="BB44" s="116"/>
      <c r="BC44" s="116"/>
      <c r="BD44" s="116"/>
      <c r="BE44" s="116"/>
      <c r="BF44" s="116"/>
      <c r="BG44" s="116"/>
      <c r="BH44" s="117"/>
      <c r="BI44" s="152" t="s">
        <v>7</v>
      </c>
      <c r="BJ44" s="117"/>
      <c r="BK44" s="115" t="s">
        <v>3</v>
      </c>
      <c r="BL44" s="65"/>
    </row>
    <row r="45" spans="1:64" ht="42.6" customHeight="1">
      <c r="A45" s="118"/>
      <c r="B45" s="118"/>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6"/>
      <c r="BA45" s="16"/>
      <c r="BB45" s="16"/>
      <c r="BC45" s="16"/>
      <c r="BD45" s="16"/>
      <c r="BE45" s="16"/>
      <c r="BF45" s="16"/>
      <c r="BG45" s="16"/>
      <c r="BH45" s="4"/>
      <c r="BI45" s="2" t="s">
        <v>4</v>
      </c>
      <c r="BJ45" s="2" t="s">
        <v>5</v>
      </c>
      <c r="BK45" s="118"/>
      <c r="BL45" s="65"/>
    </row>
    <row r="46" spans="1:64" ht="14.4" customHeight="1">
      <c r="A46" s="1">
        <v>1</v>
      </c>
      <c r="B46" s="4" t="str">
        <f>IF(MAESTRO!B5="","",MAESTRO!B5)</f>
        <v/>
      </c>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4"/>
      <c r="BI46" s="4">
        <f t="shared" ref="BI46:BI86" si="2">IFERROR(COUNTIF(C46:BH46,"-"),"")</f>
        <v>0</v>
      </c>
      <c r="BJ46" s="4">
        <f t="shared" ref="BJ46:BJ86" si="3">IFERROR(COUNTIF(D46:BI46,"T"),"")</f>
        <v>0</v>
      </c>
      <c r="BK46" s="4"/>
      <c r="BL46" s="3">
        <v>1</v>
      </c>
    </row>
    <row r="47" spans="1:64" ht="18" customHeight="1">
      <c r="A47" s="1">
        <v>2</v>
      </c>
      <c r="B47" s="4" t="str">
        <f>IF(MAESTRO!B6="","",MAESTRO!B6)</f>
        <v/>
      </c>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4"/>
      <c r="BI47" s="4">
        <f t="shared" si="2"/>
        <v>0</v>
      </c>
      <c r="BJ47" s="4">
        <f t="shared" si="3"/>
        <v>0</v>
      </c>
      <c r="BK47" s="4"/>
      <c r="BL47" s="3">
        <v>2</v>
      </c>
    </row>
    <row r="48" spans="1:64">
      <c r="A48" s="1">
        <v>3</v>
      </c>
      <c r="B48" s="4" t="str">
        <f>IF(MAESTRO!B7="","",MAESTRO!B7)</f>
        <v/>
      </c>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4"/>
      <c r="BI48" s="4">
        <f t="shared" si="2"/>
        <v>0</v>
      </c>
      <c r="BJ48" s="4">
        <f t="shared" si="3"/>
        <v>0</v>
      </c>
      <c r="BK48" s="4"/>
      <c r="BL48" s="3">
        <v>3</v>
      </c>
    </row>
    <row r="49" spans="1:64">
      <c r="A49" s="1">
        <v>4</v>
      </c>
      <c r="B49" s="4" t="str">
        <f>IF(MAESTRO!B8="","",MAESTRO!B8)</f>
        <v/>
      </c>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4"/>
      <c r="BI49" s="4">
        <f t="shared" si="2"/>
        <v>0</v>
      </c>
      <c r="BJ49" s="4">
        <f t="shared" si="3"/>
        <v>0</v>
      </c>
      <c r="BK49" s="4"/>
      <c r="BL49" s="3">
        <v>4</v>
      </c>
    </row>
    <row r="50" spans="1:64">
      <c r="A50" s="1">
        <v>5</v>
      </c>
      <c r="B50" s="4" t="str">
        <f>IF(MAESTRO!B9="","",MAESTRO!B9)</f>
        <v/>
      </c>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4"/>
      <c r="BI50" s="4">
        <f t="shared" si="2"/>
        <v>0</v>
      </c>
      <c r="BJ50" s="4">
        <f t="shared" si="3"/>
        <v>0</v>
      </c>
      <c r="BK50" s="4"/>
      <c r="BL50" s="3">
        <v>5</v>
      </c>
    </row>
    <row r="51" spans="1:64">
      <c r="A51" s="1">
        <v>6</v>
      </c>
      <c r="B51" s="4" t="str">
        <f>IF(MAESTRO!B10="","",MAESTRO!B10)</f>
        <v/>
      </c>
      <c r="C51" s="4"/>
      <c r="D51" s="4"/>
      <c r="E51" s="4"/>
      <c r="F51" s="4"/>
      <c r="G51" s="4"/>
      <c r="H51" s="4"/>
      <c r="I51" s="4"/>
      <c r="J51" s="4"/>
      <c r="K51" s="4"/>
      <c r="L51" s="4"/>
      <c r="M51" s="4"/>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4"/>
      <c r="BI51" s="4">
        <f t="shared" si="2"/>
        <v>0</v>
      </c>
      <c r="BJ51" s="4">
        <f t="shared" si="3"/>
        <v>0</v>
      </c>
      <c r="BK51" s="4"/>
      <c r="BL51" s="3">
        <v>6</v>
      </c>
    </row>
    <row r="52" spans="1:64">
      <c r="A52" s="1">
        <v>7</v>
      </c>
      <c r="B52" s="4" t="str">
        <f>IF(MAESTRO!B11="","",MAESTRO!B11)</f>
        <v/>
      </c>
      <c r="C52" s="4"/>
      <c r="D52" s="4"/>
      <c r="E52" s="4"/>
      <c r="F52" s="4"/>
      <c r="G52" s="4"/>
      <c r="H52" s="4"/>
      <c r="I52" s="4"/>
      <c r="J52" s="4"/>
      <c r="K52" s="4"/>
      <c r="L52" s="4"/>
      <c r="M52" s="4"/>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4"/>
      <c r="BI52" s="4">
        <f t="shared" si="2"/>
        <v>0</v>
      </c>
      <c r="BJ52" s="4">
        <f t="shared" si="3"/>
        <v>0</v>
      </c>
      <c r="BK52" s="4"/>
      <c r="BL52" s="3">
        <v>7</v>
      </c>
    </row>
    <row r="53" spans="1:64">
      <c r="A53" s="1">
        <v>8</v>
      </c>
      <c r="B53" s="4" t="str">
        <f>IF(MAESTRO!B12="","",MAESTRO!B12)</f>
        <v/>
      </c>
      <c r="C53" s="4"/>
      <c r="D53" s="4"/>
      <c r="E53" s="4"/>
      <c r="F53" s="4"/>
      <c r="G53" s="4"/>
      <c r="H53" s="4"/>
      <c r="I53" s="4"/>
      <c r="J53" s="4"/>
      <c r="K53" s="4"/>
      <c r="L53" s="4"/>
      <c r="M53" s="4"/>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4"/>
      <c r="BI53" s="4">
        <f t="shared" si="2"/>
        <v>0</v>
      </c>
      <c r="BJ53" s="4">
        <f t="shared" si="3"/>
        <v>0</v>
      </c>
      <c r="BK53" s="4"/>
      <c r="BL53" s="3">
        <v>8</v>
      </c>
    </row>
    <row r="54" spans="1:64">
      <c r="A54" s="1">
        <v>9</v>
      </c>
      <c r="B54" s="4" t="str">
        <f>IF(MAESTRO!B13="","",MAESTRO!B13)</f>
        <v/>
      </c>
      <c r="C54" s="4"/>
      <c r="D54" s="4"/>
      <c r="E54" s="4"/>
      <c r="F54" s="4"/>
      <c r="G54" s="4"/>
      <c r="H54" s="4"/>
      <c r="I54" s="4"/>
      <c r="J54" s="4"/>
      <c r="K54" s="4"/>
      <c r="L54" s="4"/>
      <c r="M54" s="4"/>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4"/>
      <c r="BI54" s="4">
        <f t="shared" si="2"/>
        <v>0</v>
      </c>
      <c r="BJ54" s="4">
        <f t="shared" si="3"/>
        <v>0</v>
      </c>
      <c r="BK54" s="4"/>
      <c r="BL54" s="3">
        <v>9</v>
      </c>
    </row>
    <row r="55" spans="1:64">
      <c r="A55" s="1">
        <v>10</v>
      </c>
      <c r="B55" s="4" t="str">
        <f>IF(MAESTRO!B14="","",MAESTRO!B14)</f>
        <v/>
      </c>
      <c r="C55" s="4"/>
      <c r="D55" s="4"/>
      <c r="E55" s="4"/>
      <c r="F55" s="4"/>
      <c r="G55" s="4"/>
      <c r="H55" s="4"/>
      <c r="I55" s="4"/>
      <c r="J55" s="4"/>
      <c r="K55" s="4"/>
      <c r="L55" s="4"/>
      <c r="M55" s="4"/>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4"/>
      <c r="BI55" s="4">
        <f t="shared" si="2"/>
        <v>0</v>
      </c>
      <c r="BJ55" s="4">
        <f t="shared" si="3"/>
        <v>0</v>
      </c>
      <c r="BK55" s="4"/>
      <c r="BL55" s="3">
        <v>10</v>
      </c>
    </row>
    <row r="56" spans="1:64">
      <c r="A56" s="1">
        <v>11</v>
      </c>
      <c r="B56" s="4" t="str">
        <f>IF(MAESTRO!B15="","",MAESTRO!B15)</f>
        <v/>
      </c>
      <c r="C56" s="4"/>
      <c r="D56" s="4"/>
      <c r="E56" s="4"/>
      <c r="F56" s="4"/>
      <c r="G56" s="4"/>
      <c r="H56" s="4"/>
      <c r="I56" s="4"/>
      <c r="J56" s="4"/>
      <c r="K56" s="4"/>
      <c r="L56" s="4"/>
      <c r="M56" s="4"/>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4"/>
      <c r="BI56" s="4">
        <f t="shared" si="2"/>
        <v>0</v>
      </c>
      <c r="BJ56" s="4">
        <f t="shared" si="3"/>
        <v>0</v>
      </c>
      <c r="BK56" s="4"/>
      <c r="BL56" s="3">
        <v>11</v>
      </c>
    </row>
    <row r="57" spans="1:64">
      <c r="A57" s="1">
        <v>12</v>
      </c>
      <c r="B57" s="4" t="str">
        <f>IF(MAESTRO!B16="","",MAESTRO!B16)</f>
        <v/>
      </c>
      <c r="C57" s="4"/>
      <c r="D57" s="4"/>
      <c r="E57" s="4"/>
      <c r="F57" s="4"/>
      <c r="G57" s="4"/>
      <c r="H57" s="4"/>
      <c r="I57" s="4"/>
      <c r="J57" s="4"/>
      <c r="K57" s="4"/>
      <c r="L57" s="4"/>
      <c r="M57" s="4"/>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4"/>
      <c r="BI57" s="4">
        <f t="shared" si="2"/>
        <v>0</v>
      </c>
      <c r="BJ57" s="4">
        <f t="shared" si="3"/>
        <v>0</v>
      </c>
      <c r="BK57" s="4"/>
      <c r="BL57" s="3">
        <v>12</v>
      </c>
    </row>
    <row r="58" spans="1:64">
      <c r="A58" s="1">
        <v>13</v>
      </c>
      <c r="B58" s="4" t="str">
        <f>IF(MAESTRO!B17="","",MAESTRO!B17)</f>
        <v/>
      </c>
      <c r="C58" s="4"/>
      <c r="D58" s="4"/>
      <c r="E58" s="4"/>
      <c r="F58" s="4"/>
      <c r="G58" s="4"/>
      <c r="H58" s="4"/>
      <c r="I58" s="4"/>
      <c r="J58" s="4"/>
      <c r="K58" s="4"/>
      <c r="L58" s="4"/>
      <c r="M58" s="4"/>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4"/>
      <c r="BI58" s="4">
        <f t="shared" si="2"/>
        <v>0</v>
      </c>
      <c r="BJ58" s="4">
        <f t="shared" si="3"/>
        <v>0</v>
      </c>
      <c r="BK58" s="4"/>
      <c r="BL58" s="3">
        <v>13</v>
      </c>
    </row>
    <row r="59" spans="1:64">
      <c r="A59" s="1">
        <v>14</v>
      </c>
      <c r="B59" s="4" t="str">
        <f>IF(MAESTRO!B18="","",MAESTRO!B18)</f>
        <v/>
      </c>
      <c r="C59" s="4"/>
      <c r="D59" s="4"/>
      <c r="E59" s="4"/>
      <c r="F59" s="4"/>
      <c r="G59" s="4"/>
      <c r="H59" s="4"/>
      <c r="I59" s="4"/>
      <c r="J59" s="4"/>
      <c r="K59" s="4"/>
      <c r="L59" s="4"/>
      <c r="M59" s="4"/>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4"/>
      <c r="BI59" s="4">
        <f t="shared" si="2"/>
        <v>0</v>
      </c>
      <c r="BJ59" s="4">
        <f t="shared" si="3"/>
        <v>0</v>
      </c>
      <c r="BK59" s="4"/>
      <c r="BL59" s="3">
        <v>14</v>
      </c>
    </row>
    <row r="60" spans="1:64">
      <c r="A60" s="1">
        <v>15</v>
      </c>
      <c r="B60" s="4" t="str">
        <f>IF(MAESTRO!B19="","",MAESTRO!B19)</f>
        <v/>
      </c>
      <c r="C60" s="4"/>
      <c r="D60" s="4"/>
      <c r="E60" s="4"/>
      <c r="F60" s="4"/>
      <c r="G60" s="4"/>
      <c r="H60" s="4"/>
      <c r="I60" s="4"/>
      <c r="J60" s="4"/>
      <c r="K60" s="4"/>
      <c r="L60" s="4"/>
      <c r="M60" s="4"/>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4"/>
      <c r="BI60" s="4">
        <f t="shared" si="2"/>
        <v>0</v>
      </c>
      <c r="BJ60" s="4">
        <f t="shared" si="3"/>
        <v>0</v>
      </c>
      <c r="BK60" s="4"/>
      <c r="BL60" s="3">
        <v>15</v>
      </c>
    </row>
    <row r="61" spans="1:64">
      <c r="A61" s="1">
        <v>16</v>
      </c>
      <c r="B61" s="4" t="str">
        <f>IF(MAESTRO!B20="","",MAESTRO!B20)</f>
        <v/>
      </c>
      <c r="C61" s="4"/>
      <c r="D61" s="4"/>
      <c r="E61" s="4"/>
      <c r="F61" s="4"/>
      <c r="G61" s="4"/>
      <c r="H61" s="4"/>
      <c r="I61" s="4"/>
      <c r="J61" s="4"/>
      <c r="K61" s="4"/>
      <c r="L61" s="4"/>
      <c r="M61" s="4"/>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4"/>
      <c r="BI61" s="4">
        <f t="shared" si="2"/>
        <v>0</v>
      </c>
      <c r="BJ61" s="4">
        <f t="shared" si="3"/>
        <v>0</v>
      </c>
      <c r="BK61" s="4"/>
      <c r="BL61" s="3">
        <v>16</v>
      </c>
    </row>
    <row r="62" spans="1:64">
      <c r="A62" s="1">
        <v>17</v>
      </c>
      <c r="B62" s="4" t="str">
        <f>IF(MAESTRO!B21="","",MAESTRO!B21)</f>
        <v/>
      </c>
      <c r="C62" s="4"/>
      <c r="D62" s="4"/>
      <c r="E62" s="4"/>
      <c r="F62" s="4"/>
      <c r="G62" s="4"/>
      <c r="H62" s="4"/>
      <c r="I62" s="4"/>
      <c r="J62" s="4"/>
      <c r="K62" s="4"/>
      <c r="L62" s="4"/>
      <c r="M62" s="4"/>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4"/>
      <c r="BI62" s="4">
        <f t="shared" si="2"/>
        <v>0</v>
      </c>
      <c r="BJ62" s="4">
        <f t="shared" si="3"/>
        <v>0</v>
      </c>
      <c r="BK62" s="4"/>
      <c r="BL62" s="3">
        <v>17</v>
      </c>
    </row>
    <row r="63" spans="1:64">
      <c r="A63" s="1">
        <v>18</v>
      </c>
      <c r="B63" s="4" t="str">
        <f>IF(MAESTRO!B22="","",MAESTRO!B22)</f>
        <v/>
      </c>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4"/>
      <c r="BI63" s="4">
        <f t="shared" si="2"/>
        <v>0</v>
      </c>
      <c r="BJ63" s="4">
        <f t="shared" si="3"/>
        <v>0</v>
      </c>
      <c r="BK63" s="4"/>
      <c r="BL63" s="3">
        <v>18</v>
      </c>
    </row>
    <row r="64" spans="1:64">
      <c r="A64" s="1">
        <v>19</v>
      </c>
      <c r="B64" s="4" t="str">
        <f>IF(MAESTRO!B23="","",MAESTRO!B23)</f>
        <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4"/>
      <c r="BI64" s="4">
        <f t="shared" si="2"/>
        <v>0</v>
      </c>
      <c r="BJ64" s="4">
        <f t="shared" si="3"/>
        <v>0</v>
      </c>
      <c r="BK64" s="4"/>
      <c r="BL64" s="3">
        <v>19</v>
      </c>
    </row>
    <row r="65" spans="1:64">
      <c r="A65" s="1">
        <v>20</v>
      </c>
      <c r="B65" s="4" t="str">
        <f>IF(MAESTRO!B24="","",MAESTRO!B24)</f>
        <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4"/>
      <c r="BI65" s="4">
        <f t="shared" si="2"/>
        <v>0</v>
      </c>
      <c r="BJ65" s="4">
        <f t="shared" si="3"/>
        <v>0</v>
      </c>
      <c r="BK65" s="4"/>
      <c r="BL65" s="3">
        <v>20</v>
      </c>
    </row>
    <row r="66" spans="1:64">
      <c r="A66" s="1">
        <v>21</v>
      </c>
      <c r="B66" s="4" t="str">
        <f>IF(MAESTRO!B25="","",MAESTRO!B25)</f>
        <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4"/>
      <c r="BI66" s="4">
        <f t="shared" si="2"/>
        <v>0</v>
      </c>
      <c r="BJ66" s="4">
        <f t="shared" si="3"/>
        <v>0</v>
      </c>
      <c r="BK66" s="4"/>
      <c r="BL66" s="3">
        <v>21</v>
      </c>
    </row>
    <row r="67" spans="1:64">
      <c r="A67" s="1">
        <v>22</v>
      </c>
      <c r="B67" s="4" t="str">
        <f>IF(MAESTRO!B26="","",MAESTRO!B26)</f>
        <v/>
      </c>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4"/>
      <c r="BI67" s="4">
        <f t="shared" si="2"/>
        <v>0</v>
      </c>
      <c r="BJ67" s="4">
        <f t="shared" si="3"/>
        <v>0</v>
      </c>
      <c r="BK67" s="4"/>
      <c r="BL67" s="3">
        <v>22</v>
      </c>
    </row>
    <row r="68" spans="1:64">
      <c r="A68" s="1">
        <v>23</v>
      </c>
      <c r="B68" s="4" t="str">
        <f>IF(MAESTRO!B27="","",MAESTRO!B27)</f>
        <v/>
      </c>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4"/>
      <c r="BI68" s="4">
        <f t="shared" si="2"/>
        <v>0</v>
      </c>
      <c r="BJ68" s="4">
        <f t="shared" si="3"/>
        <v>0</v>
      </c>
      <c r="BK68" s="4"/>
      <c r="BL68" s="3">
        <v>23</v>
      </c>
    </row>
    <row r="69" spans="1:64">
      <c r="A69" s="1">
        <v>24</v>
      </c>
      <c r="B69" s="4" t="str">
        <f>IF(MAESTRO!B28="","",MAESTRO!B28)</f>
        <v/>
      </c>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4"/>
      <c r="BI69" s="4">
        <f t="shared" si="2"/>
        <v>0</v>
      </c>
      <c r="BJ69" s="4">
        <f t="shared" si="3"/>
        <v>0</v>
      </c>
      <c r="BK69" s="4"/>
      <c r="BL69" s="3">
        <v>24</v>
      </c>
    </row>
    <row r="70" spans="1:64">
      <c r="A70" s="1">
        <v>25</v>
      </c>
      <c r="B70" s="4" t="str">
        <f>IF(MAESTRO!B29="","",MAESTRO!B29)</f>
        <v/>
      </c>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4"/>
      <c r="BI70" s="4">
        <f t="shared" si="2"/>
        <v>0</v>
      </c>
      <c r="BJ70" s="4">
        <f t="shared" si="3"/>
        <v>0</v>
      </c>
      <c r="BK70" s="4"/>
      <c r="BL70" s="3">
        <v>25</v>
      </c>
    </row>
    <row r="71" spans="1:64">
      <c r="A71" s="1">
        <v>26</v>
      </c>
      <c r="B71" s="4" t="str">
        <f>IF(MAESTRO!B30="","",MAESTRO!B30)</f>
        <v/>
      </c>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4"/>
      <c r="BI71" s="4">
        <f t="shared" si="2"/>
        <v>0</v>
      </c>
      <c r="BJ71" s="4">
        <f t="shared" si="3"/>
        <v>0</v>
      </c>
      <c r="BK71" s="4"/>
      <c r="BL71" s="3">
        <v>26</v>
      </c>
    </row>
    <row r="72" spans="1:64">
      <c r="A72" s="1">
        <v>27</v>
      </c>
      <c r="B72" s="4" t="str">
        <f>IF(MAESTRO!B31="","",MAESTRO!B31)</f>
        <v/>
      </c>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4"/>
      <c r="BI72" s="4">
        <f t="shared" si="2"/>
        <v>0</v>
      </c>
      <c r="BJ72" s="4">
        <f t="shared" si="3"/>
        <v>0</v>
      </c>
      <c r="BK72" s="4"/>
      <c r="BL72" s="3">
        <v>27</v>
      </c>
    </row>
    <row r="73" spans="1:64">
      <c r="A73" s="1">
        <v>28</v>
      </c>
      <c r="B73" s="4" t="str">
        <f>IF(MAESTRO!B32="","",MAESTRO!B32)</f>
        <v/>
      </c>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4"/>
      <c r="BI73" s="4">
        <f t="shared" si="2"/>
        <v>0</v>
      </c>
      <c r="BJ73" s="4">
        <f t="shared" si="3"/>
        <v>0</v>
      </c>
      <c r="BK73" s="4"/>
      <c r="BL73" s="3">
        <v>28</v>
      </c>
    </row>
    <row r="74" spans="1:64">
      <c r="A74" s="1">
        <v>29</v>
      </c>
      <c r="B74" s="4" t="str">
        <f>IF(MAESTRO!B33="","",MAESTRO!B33)</f>
        <v/>
      </c>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4"/>
      <c r="BI74" s="4">
        <f t="shared" si="2"/>
        <v>0</v>
      </c>
      <c r="BJ74" s="4">
        <f t="shared" si="3"/>
        <v>0</v>
      </c>
      <c r="BK74" s="4"/>
      <c r="BL74" s="3">
        <v>29</v>
      </c>
    </row>
    <row r="75" spans="1:64">
      <c r="A75" s="1">
        <v>30</v>
      </c>
      <c r="B75" s="4" t="str">
        <f>IF(MAESTRO!B34="","",MAESTRO!B34)</f>
        <v/>
      </c>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4"/>
      <c r="BI75" s="4">
        <f t="shared" si="2"/>
        <v>0</v>
      </c>
      <c r="BJ75" s="4">
        <f t="shared" si="3"/>
        <v>0</v>
      </c>
      <c r="BK75" s="4"/>
      <c r="BL75" s="3">
        <v>30</v>
      </c>
    </row>
    <row r="76" spans="1:64">
      <c r="A76" s="1">
        <v>31</v>
      </c>
      <c r="B76" s="4" t="str">
        <f>IF(MAESTRO!B35="","",MAESTRO!B35)</f>
        <v/>
      </c>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4"/>
      <c r="BI76" s="4">
        <f t="shared" si="2"/>
        <v>0</v>
      </c>
      <c r="BJ76" s="4">
        <f t="shared" si="3"/>
        <v>0</v>
      </c>
      <c r="BK76" s="4"/>
      <c r="BL76" s="3">
        <v>31</v>
      </c>
    </row>
    <row r="77" spans="1:64">
      <c r="A77" s="1">
        <v>32</v>
      </c>
      <c r="B77" s="4" t="str">
        <f>IF(MAESTRO!B36="","",MAESTRO!B36)</f>
        <v/>
      </c>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4"/>
      <c r="BI77" s="4">
        <f t="shared" si="2"/>
        <v>0</v>
      </c>
      <c r="BJ77" s="4">
        <f t="shared" si="3"/>
        <v>0</v>
      </c>
      <c r="BK77" s="4"/>
      <c r="BL77" s="3">
        <v>32</v>
      </c>
    </row>
    <row r="78" spans="1:64">
      <c r="A78" s="1">
        <v>33</v>
      </c>
      <c r="B78" s="4" t="str">
        <f>IF(MAESTRO!B37="","",MAESTRO!B37)</f>
        <v/>
      </c>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4"/>
      <c r="BI78" s="4">
        <f t="shared" si="2"/>
        <v>0</v>
      </c>
      <c r="BJ78" s="4">
        <f t="shared" si="3"/>
        <v>0</v>
      </c>
      <c r="BK78" s="4"/>
      <c r="BL78" s="3">
        <v>33</v>
      </c>
    </row>
    <row r="79" spans="1:64">
      <c r="A79" s="1">
        <v>34</v>
      </c>
      <c r="B79" s="4" t="str">
        <f>IF(MAESTRO!B38="","",MAESTRO!B38)</f>
        <v/>
      </c>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4"/>
      <c r="BI79" s="4">
        <f t="shared" si="2"/>
        <v>0</v>
      </c>
      <c r="BJ79" s="4">
        <f t="shared" si="3"/>
        <v>0</v>
      </c>
      <c r="BK79" s="4"/>
      <c r="BL79" s="3">
        <v>34</v>
      </c>
    </row>
    <row r="80" spans="1:64">
      <c r="A80" s="1">
        <v>35</v>
      </c>
      <c r="B80" s="4" t="str">
        <f>IF(MAESTRO!B39="","",MAESTRO!B39)</f>
        <v/>
      </c>
      <c r="C80" s="16" t="s">
        <v>8</v>
      </c>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4"/>
      <c r="BI80" s="4">
        <f t="shared" si="2"/>
        <v>0</v>
      </c>
      <c r="BJ80" s="4">
        <f t="shared" si="3"/>
        <v>0</v>
      </c>
      <c r="BK80" s="4"/>
      <c r="BL80" s="3">
        <v>35</v>
      </c>
    </row>
    <row r="81" spans="1:64">
      <c r="A81" s="1">
        <v>36</v>
      </c>
      <c r="B81" s="4" t="str">
        <f>IF(MAESTRO!B40="","",MAESTRO!B40)</f>
        <v/>
      </c>
      <c r="C81" s="16" t="s">
        <v>8</v>
      </c>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4"/>
      <c r="BI81" s="4">
        <f t="shared" si="2"/>
        <v>0</v>
      </c>
      <c r="BJ81" s="4">
        <f t="shared" si="3"/>
        <v>0</v>
      </c>
      <c r="BK81" s="4"/>
      <c r="BL81" s="3">
        <v>36</v>
      </c>
    </row>
    <row r="82" spans="1:64">
      <c r="A82" s="1">
        <v>37</v>
      </c>
      <c r="B82" s="4" t="str">
        <f>IF(MAESTRO!B41="","",MAESTRO!B41)</f>
        <v/>
      </c>
      <c r="C82" s="16" t="s">
        <v>8</v>
      </c>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4"/>
      <c r="BI82" s="4">
        <f t="shared" si="2"/>
        <v>0</v>
      </c>
      <c r="BJ82" s="4">
        <f t="shared" si="3"/>
        <v>0</v>
      </c>
      <c r="BK82" s="4"/>
      <c r="BL82" s="3">
        <v>37</v>
      </c>
    </row>
    <row r="83" spans="1:64">
      <c r="A83" s="1">
        <v>38</v>
      </c>
      <c r="B83" s="4" t="str">
        <f>IF(MAESTRO!B42="","",MAESTRO!B42)</f>
        <v/>
      </c>
      <c r="C83" s="16" t="s">
        <v>8</v>
      </c>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4"/>
      <c r="BI83" s="4">
        <f t="shared" si="2"/>
        <v>0</v>
      </c>
      <c r="BJ83" s="4">
        <f t="shared" si="3"/>
        <v>0</v>
      </c>
      <c r="BK83" s="4"/>
      <c r="BL83" s="3">
        <v>38</v>
      </c>
    </row>
    <row r="84" spans="1:64">
      <c r="A84" s="1">
        <v>39</v>
      </c>
      <c r="B84" s="4" t="str">
        <f>IF(MAESTRO!B43="","",MAESTRO!B43)</f>
        <v/>
      </c>
      <c r="C84" s="16" t="s">
        <v>8</v>
      </c>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4"/>
      <c r="BI84" s="4">
        <f t="shared" si="2"/>
        <v>0</v>
      </c>
      <c r="BJ84" s="4">
        <f t="shared" si="3"/>
        <v>0</v>
      </c>
      <c r="BK84" s="4"/>
      <c r="BL84" s="3">
        <v>39</v>
      </c>
    </row>
    <row r="85" spans="1:64">
      <c r="A85" s="1">
        <v>40</v>
      </c>
      <c r="B85" s="4" t="str">
        <f>IF(MAESTRO!B44="","",MAESTRO!B44)</f>
        <v/>
      </c>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4"/>
      <c r="BI85" s="4">
        <f t="shared" si="2"/>
        <v>0</v>
      </c>
      <c r="BJ85" s="4">
        <f t="shared" si="3"/>
        <v>0</v>
      </c>
      <c r="BK85" s="4"/>
      <c r="BL85" s="3">
        <v>40</v>
      </c>
    </row>
    <row r="86" spans="1:64">
      <c r="A86" s="1">
        <v>41</v>
      </c>
      <c r="B86" s="4"/>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4"/>
      <c r="BI86" s="4">
        <f t="shared" si="2"/>
        <v>0</v>
      </c>
      <c r="BJ86" s="4">
        <f t="shared" si="3"/>
        <v>0</v>
      </c>
      <c r="BK86" s="4"/>
      <c r="BL86" s="3">
        <v>41</v>
      </c>
    </row>
    <row r="87" spans="1:64" ht="31.2" customHeight="1">
      <c r="A87" s="154"/>
      <c r="B87" s="149" t="s">
        <v>0</v>
      </c>
      <c r="C87" s="152" t="s">
        <v>9</v>
      </c>
      <c r="D87" s="116"/>
      <c r="E87" s="116"/>
      <c r="F87" s="116"/>
      <c r="G87" s="116"/>
      <c r="H87" s="116"/>
      <c r="I87" s="116"/>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7"/>
      <c r="BI87" s="152" t="s">
        <v>10</v>
      </c>
      <c r="BJ87" s="117"/>
      <c r="BK87" s="115" t="s">
        <v>3</v>
      </c>
      <c r="BL87" s="65"/>
    </row>
    <row r="88" spans="1:64" ht="43.2" customHeight="1">
      <c r="A88" s="118"/>
      <c r="B88" s="118"/>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4</v>
      </c>
      <c r="BJ88" s="2" t="s">
        <v>5</v>
      </c>
      <c r="BK88" s="118"/>
      <c r="BL88" s="65"/>
    </row>
    <row r="89" spans="1:64" ht="13.2" customHeight="1">
      <c r="A89" s="1">
        <v>1</v>
      </c>
      <c r="B89" s="4" t="str">
        <f>IF(MAESTRO!B5="","",MAESTRO!B5)</f>
        <v/>
      </c>
      <c r="C89" s="16"/>
      <c r="D89" s="78"/>
      <c r="E89" s="16"/>
      <c r="F89" s="16"/>
      <c r="G89" s="78"/>
      <c r="H89" s="78"/>
      <c r="I89" s="16"/>
      <c r="J89" s="16"/>
      <c r="K89" s="16"/>
      <c r="L89" s="16"/>
      <c r="M89" s="16"/>
      <c r="N89" s="16"/>
      <c r="O89" s="16"/>
      <c r="P89" s="16"/>
      <c r="Q89" s="16"/>
      <c r="R89" s="16"/>
      <c r="S89" s="16"/>
      <c r="T89" s="16"/>
      <c r="U89" s="16"/>
      <c r="V89" s="16"/>
      <c r="W89" s="16"/>
      <c r="X89" s="16"/>
      <c r="Y89" s="16"/>
      <c r="Z89" s="79"/>
      <c r="AA89" s="79"/>
      <c r="AD89" s="79"/>
      <c r="AE89" s="79"/>
      <c r="AF89" s="79"/>
      <c r="AG89" s="79"/>
      <c r="AH89" s="79"/>
      <c r="AI89" s="79"/>
      <c r="AJ89" s="79"/>
      <c r="AK89" s="79"/>
      <c r="AL89" s="79"/>
      <c r="AM89" s="79"/>
      <c r="AN89" s="79"/>
      <c r="AO89" s="79"/>
      <c r="AP89" s="79"/>
      <c r="AQ89" s="79"/>
      <c r="AR89" s="16"/>
      <c r="AS89" s="16"/>
      <c r="AT89" s="16"/>
      <c r="AU89" s="16"/>
      <c r="AV89" s="16"/>
      <c r="AW89" s="16"/>
      <c r="AX89" s="16"/>
      <c r="AY89" s="16"/>
      <c r="AZ89" s="16"/>
      <c r="BA89" s="16"/>
      <c r="BB89" s="16"/>
      <c r="BC89" s="16"/>
      <c r="BD89" s="16"/>
      <c r="BE89" s="16"/>
      <c r="BF89" s="16"/>
      <c r="BG89" s="16"/>
      <c r="BH89" s="4"/>
      <c r="BI89" s="4">
        <f t="shared" ref="BI89:BI130" si="4">IFERROR(COUNTIF(C89:BH89,"-"),"")</f>
        <v>0</v>
      </c>
      <c r="BJ89" s="4">
        <f t="shared" ref="BJ89:BJ130" si="5">IFERROR(COUNTIF(D89:BI89,"T"),"")</f>
        <v>0</v>
      </c>
      <c r="BK89" s="4"/>
      <c r="BL89" s="3">
        <v>1</v>
      </c>
    </row>
    <row r="90" spans="1:64" ht="14.4" customHeight="1">
      <c r="A90" s="1">
        <v>2</v>
      </c>
      <c r="B90" s="4" t="str">
        <f>IF(MAESTRO!B6="","",MAESTRO!B6)</f>
        <v/>
      </c>
      <c r="C90" s="16"/>
      <c r="D90" s="78"/>
      <c r="E90" s="16"/>
      <c r="F90" s="16"/>
      <c r="G90" s="78"/>
      <c r="H90" s="78"/>
      <c r="I90" s="16"/>
      <c r="J90" s="16"/>
      <c r="K90" s="16"/>
      <c r="L90" s="16"/>
      <c r="M90" s="16"/>
      <c r="N90" s="16"/>
      <c r="O90" s="16"/>
      <c r="P90" s="16"/>
      <c r="Q90" s="16"/>
      <c r="R90" s="16"/>
      <c r="S90" s="16"/>
      <c r="T90" s="16"/>
      <c r="U90" s="16"/>
      <c r="V90" s="16"/>
      <c r="W90" s="16"/>
      <c r="X90" s="16"/>
      <c r="Y90" s="16"/>
      <c r="Z90" s="79"/>
      <c r="AA90" s="79"/>
      <c r="AB90" s="16"/>
      <c r="AC90" s="16"/>
      <c r="AD90" s="79"/>
      <c r="AE90" s="79"/>
      <c r="AF90" s="79"/>
      <c r="AG90" s="79"/>
      <c r="AH90" s="79"/>
      <c r="AI90" s="79"/>
      <c r="AJ90" s="79"/>
      <c r="AK90" s="79"/>
      <c r="AL90" s="79"/>
      <c r="AM90" s="79"/>
      <c r="AN90" s="79"/>
      <c r="AO90" s="79"/>
      <c r="AP90" s="79"/>
      <c r="AQ90" s="79"/>
      <c r="AR90" s="16"/>
      <c r="AS90" s="16"/>
      <c r="AT90" s="16"/>
      <c r="AU90" s="16"/>
      <c r="AV90" s="16"/>
      <c r="AW90" s="16"/>
      <c r="AX90" s="16"/>
      <c r="AY90" s="16"/>
      <c r="AZ90" s="16"/>
      <c r="BA90" s="16"/>
      <c r="BB90" s="16"/>
      <c r="BC90" s="16"/>
      <c r="BD90" s="16"/>
      <c r="BE90" s="16"/>
      <c r="BF90" s="16"/>
      <c r="BG90" s="16"/>
      <c r="BH90" s="4"/>
      <c r="BI90" s="4">
        <f t="shared" si="4"/>
        <v>0</v>
      </c>
      <c r="BJ90" s="4">
        <f t="shared" si="5"/>
        <v>0</v>
      </c>
      <c r="BK90" s="4"/>
      <c r="BL90" s="3">
        <v>2</v>
      </c>
    </row>
    <row r="91" spans="1:64">
      <c r="A91" s="1">
        <v>3</v>
      </c>
      <c r="B91" s="4" t="str">
        <f>IF(MAESTRO!B7="","",MAESTRO!B7)</f>
        <v/>
      </c>
      <c r="C91" s="16"/>
      <c r="D91" s="78"/>
      <c r="E91" s="16"/>
      <c r="F91" s="16"/>
      <c r="G91" s="78"/>
      <c r="H91" s="78"/>
      <c r="I91" s="16"/>
      <c r="J91" s="16"/>
      <c r="K91" s="16"/>
      <c r="L91" s="16"/>
      <c r="M91" s="16"/>
      <c r="N91" s="16"/>
      <c r="O91" s="16"/>
      <c r="P91" s="16"/>
      <c r="Q91" s="16"/>
      <c r="R91" s="16"/>
      <c r="S91" s="16"/>
      <c r="T91" s="16"/>
      <c r="U91" s="16"/>
      <c r="V91" s="16"/>
      <c r="W91" s="16"/>
      <c r="X91" s="16"/>
      <c r="Y91" s="16"/>
      <c r="Z91" s="79"/>
      <c r="AA91" s="79"/>
      <c r="AB91" s="16"/>
      <c r="AC91" s="16"/>
      <c r="AD91" s="79"/>
      <c r="AE91" s="79"/>
      <c r="AF91" s="79"/>
      <c r="AG91" s="79"/>
      <c r="AH91" s="79"/>
      <c r="AI91" s="79"/>
      <c r="AJ91" s="79"/>
      <c r="AK91" s="79"/>
      <c r="AL91" s="79"/>
      <c r="AM91" s="79"/>
      <c r="AN91" s="79"/>
      <c r="AO91" s="79"/>
      <c r="AP91" s="79"/>
      <c r="AQ91" s="79"/>
      <c r="AR91" s="16"/>
      <c r="AS91" s="16"/>
      <c r="AT91" s="16"/>
      <c r="AU91" s="16"/>
      <c r="AV91" s="16"/>
      <c r="AW91" s="16"/>
      <c r="AX91" s="16"/>
      <c r="AY91" s="16"/>
      <c r="AZ91" s="16"/>
      <c r="BA91" s="16"/>
      <c r="BB91" s="16"/>
      <c r="BC91" s="16"/>
      <c r="BD91" s="16"/>
      <c r="BE91" s="16"/>
      <c r="BF91" s="16"/>
      <c r="BG91" s="16"/>
      <c r="BH91" s="4"/>
      <c r="BI91" s="4">
        <f t="shared" si="4"/>
        <v>0</v>
      </c>
      <c r="BJ91" s="4">
        <f t="shared" si="5"/>
        <v>0</v>
      </c>
      <c r="BK91" s="4"/>
      <c r="BL91" s="3">
        <v>3</v>
      </c>
    </row>
    <row r="92" spans="1:64" ht="14.4" customHeight="1">
      <c r="A92" s="1">
        <v>4</v>
      </c>
      <c r="B92" s="4" t="str">
        <f>IF(MAESTRO!B8="","",MAESTRO!B8)</f>
        <v/>
      </c>
      <c r="C92" s="16"/>
      <c r="D92" s="78"/>
      <c r="E92" s="16"/>
      <c r="F92" s="16"/>
      <c r="G92" s="78"/>
      <c r="H92" s="78"/>
      <c r="I92" s="16"/>
      <c r="J92" s="16"/>
      <c r="K92" s="16"/>
      <c r="L92" s="16"/>
      <c r="M92" s="16"/>
      <c r="N92" s="16"/>
      <c r="O92" s="16"/>
      <c r="P92" s="16"/>
      <c r="Q92" s="16"/>
      <c r="R92" s="16"/>
      <c r="S92" s="16"/>
      <c r="T92" s="16"/>
      <c r="U92" s="16"/>
      <c r="V92" s="16"/>
      <c r="W92" s="16"/>
      <c r="X92" s="16"/>
      <c r="Y92" s="16"/>
      <c r="Z92" s="79"/>
      <c r="AA92" s="79"/>
      <c r="AB92" s="16"/>
      <c r="AC92" s="16"/>
      <c r="AD92" s="79"/>
      <c r="AE92" s="79"/>
      <c r="AF92" s="79"/>
      <c r="AG92" s="79"/>
      <c r="AH92" s="79"/>
      <c r="AI92" s="79"/>
      <c r="AJ92" s="79"/>
      <c r="AK92" s="79"/>
      <c r="AL92" s="79"/>
      <c r="AM92" s="79"/>
      <c r="AN92" s="79"/>
      <c r="AO92" s="79"/>
      <c r="AP92" s="79"/>
      <c r="AQ92" s="79"/>
      <c r="AR92" s="16"/>
      <c r="AS92" s="16"/>
      <c r="AT92" s="16"/>
      <c r="AU92" s="16"/>
      <c r="AV92" s="16"/>
      <c r="AW92" s="16"/>
      <c r="AX92" s="16"/>
      <c r="AY92" s="16"/>
      <c r="AZ92" s="16"/>
      <c r="BA92" s="16"/>
      <c r="BB92" s="16"/>
      <c r="BC92" s="16"/>
      <c r="BD92" s="16"/>
      <c r="BE92" s="16"/>
      <c r="BF92" s="16"/>
      <c r="BG92" s="16"/>
      <c r="BH92" s="4"/>
      <c r="BI92" s="4">
        <f t="shared" si="4"/>
        <v>0</v>
      </c>
      <c r="BJ92" s="4">
        <f t="shared" si="5"/>
        <v>0</v>
      </c>
      <c r="BK92" s="4"/>
      <c r="BL92" s="3">
        <v>4</v>
      </c>
    </row>
    <row r="93" spans="1:64">
      <c r="A93" s="1">
        <v>5</v>
      </c>
      <c r="B93" s="4" t="str">
        <f>IF(MAESTRO!B9="","",MAESTRO!B9)</f>
        <v/>
      </c>
      <c r="C93" s="16"/>
      <c r="D93" s="78"/>
      <c r="E93" s="16"/>
      <c r="F93" s="16"/>
      <c r="G93" s="78"/>
      <c r="H93" s="78"/>
      <c r="I93" s="16"/>
      <c r="J93" s="16"/>
      <c r="K93" s="16"/>
      <c r="L93" s="16"/>
      <c r="M93" s="16"/>
      <c r="N93" s="16"/>
      <c r="O93" s="16"/>
      <c r="P93" s="16"/>
      <c r="Q93" s="16"/>
      <c r="R93" s="16"/>
      <c r="S93" s="16"/>
      <c r="T93" s="16"/>
      <c r="U93" s="16"/>
      <c r="V93" s="16"/>
      <c r="W93" s="16"/>
      <c r="X93" s="16"/>
      <c r="Y93" s="16"/>
      <c r="Z93" s="79"/>
      <c r="AA93" s="79"/>
      <c r="AB93" s="16"/>
      <c r="AC93" s="16"/>
      <c r="AD93" s="79"/>
      <c r="AE93" s="79"/>
      <c r="AF93" s="79"/>
      <c r="AG93" s="79"/>
      <c r="AH93" s="79"/>
      <c r="AI93" s="79"/>
      <c r="AJ93" s="79"/>
      <c r="AK93" s="79"/>
      <c r="AL93" s="79"/>
      <c r="AM93" s="79"/>
      <c r="AN93" s="79"/>
      <c r="AO93" s="79"/>
      <c r="AP93" s="79"/>
      <c r="AQ93" s="79"/>
      <c r="AR93" s="16"/>
      <c r="AS93" s="16"/>
      <c r="AT93" s="16"/>
      <c r="AU93" s="16"/>
      <c r="AV93" s="16"/>
      <c r="AW93" s="16"/>
      <c r="AX93" s="16"/>
      <c r="AY93" s="16"/>
      <c r="AZ93" s="16"/>
      <c r="BA93" s="16"/>
      <c r="BB93" s="16"/>
      <c r="BC93" s="16"/>
      <c r="BD93" s="16"/>
      <c r="BE93" s="16"/>
      <c r="BF93" s="16"/>
      <c r="BG93" s="16"/>
      <c r="BH93" s="4"/>
      <c r="BI93" s="4">
        <f t="shared" si="4"/>
        <v>0</v>
      </c>
      <c r="BJ93" s="4">
        <f t="shared" si="5"/>
        <v>0</v>
      </c>
      <c r="BK93" s="4"/>
      <c r="BL93" s="3">
        <v>5</v>
      </c>
    </row>
    <row r="94" spans="1:64">
      <c r="A94" s="1">
        <v>6</v>
      </c>
      <c r="B94" s="4" t="str">
        <f>IF(MAESTRO!B10="","",MAESTRO!B10)</f>
        <v/>
      </c>
      <c r="C94" s="16"/>
      <c r="D94" s="78"/>
      <c r="E94" s="16"/>
      <c r="F94" s="16"/>
      <c r="G94" s="78"/>
      <c r="H94" s="78"/>
      <c r="I94" s="16"/>
      <c r="J94" s="16"/>
      <c r="K94" s="16"/>
      <c r="L94" s="16"/>
      <c r="M94" s="16"/>
      <c r="N94" s="16"/>
      <c r="O94" s="16"/>
      <c r="P94" s="16"/>
      <c r="Q94" s="16"/>
      <c r="R94" s="16"/>
      <c r="S94" s="16"/>
      <c r="T94" s="16"/>
      <c r="U94" s="16"/>
      <c r="V94" s="16"/>
      <c r="W94" s="16"/>
      <c r="X94" s="16"/>
      <c r="Y94" s="16"/>
      <c r="Z94" s="79"/>
      <c r="AA94" s="79"/>
      <c r="AB94" s="16"/>
      <c r="AC94" s="16"/>
      <c r="AD94" s="79"/>
      <c r="AE94" s="79"/>
      <c r="AF94" s="79"/>
      <c r="AG94" s="79"/>
      <c r="AH94" s="79"/>
      <c r="AI94" s="79"/>
      <c r="AJ94" s="79"/>
      <c r="AK94" s="79"/>
      <c r="AL94" s="79"/>
      <c r="AM94" s="79"/>
      <c r="AN94" s="79"/>
      <c r="AO94" s="79"/>
      <c r="AP94" s="79"/>
      <c r="AQ94" s="79"/>
      <c r="AR94" s="16"/>
      <c r="AS94" s="16"/>
      <c r="AT94" s="16"/>
      <c r="AU94" s="16"/>
      <c r="AV94" s="16"/>
      <c r="AW94" s="16"/>
      <c r="AX94" s="16"/>
      <c r="AY94" s="16"/>
      <c r="AZ94" s="16"/>
      <c r="BA94" s="16"/>
      <c r="BB94" s="16"/>
      <c r="BC94" s="16"/>
      <c r="BD94" s="16"/>
      <c r="BE94" s="16"/>
      <c r="BF94" s="16"/>
      <c r="BG94" s="16"/>
      <c r="BH94" s="4"/>
      <c r="BI94" s="4">
        <f t="shared" si="4"/>
        <v>0</v>
      </c>
      <c r="BJ94" s="4">
        <f t="shared" si="5"/>
        <v>0</v>
      </c>
      <c r="BK94" s="4"/>
      <c r="BL94" s="3">
        <v>6</v>
      </c>
    </row>
    <row r="95" spans="1:64">
      <c r="A95" s="1">
        <v>7</v>
      </c>
      <c r="B95" s="4" t="str">
        <f>IF(MAESTRO!B11="","",MAESTRO!B11)</f>
        <v/>
      </c>
      <c r="C95" s="16"/>
      <c r="D95" s="78"/>
      <c r="E95" s="16"/>
      <c r="F95" s="16"/>
      <c r="G95" s="78"/>
      <c r="H95" s="78"/>
      <c r="I95" s="16"/>
      <c r="J95" s="16"/>
      <c r="K95" s="16"/>
      <c r="L95" s="16"/>
      <c r="M95" s="16"/>
      <c r="N95" s="16"/>
      <c r="O95" s="16"/>
      <c r="P95" s="16"/>
      <c r="Q95" s="16"/>
      <c r="R95" s="16"/>
      <c r="S95" s="16"/>
      <c r="T95" s="16"/>
      <c r="U95" s="16"/>
      <c r="V95" s="16"/>
      <c r="W95" s="16"/>
      <c r="X95" s="16"/>
      <c r="Y95" s="16"/>
      <c r="Z95" s="79"/>
      <c r="AA95" s="79"/>
      <c r="AB95" s="16"/>
      <c r="AC95" s="16"/>
      <c r="AD95" s="79"/>
      <c r="AE95" s="79"/>
      <c r="AF95" s="79"/>
      <c r="AG95" s="79"/>
      <c r="AH95" s="79"/>
      <c r="AI95" s="79"/>
      <c r="AJ95" s="79"/>
      <c r="AK95" s="79"/>
      <c r="AL95" s="79"/>
      <c r="AM95" s="79"/>
      <c r="AN95" s="79"/>
      <c r="AO95" s="79"/>
      <c r="AP95" s="79"/>
      <c r="AQ95" s="79"/>
      <c r="AR95" s="16"/>
      <c r="AS95" s="16"/>
      <c r="AT95" s="16"/>
      <c r="AU95" s="16"/>
      <c r="AV95" s="16"/>
      <c r="AW95" s="16"/>
      <c r="AX95" s="16"/>
      <c r="AY95" s="16"/>
      <c r="AZ95" s="16"/>
      <c r="BA95" s="16"/>
      <c r="BB95" s="16"/>
      <c r="BC95" s="16"/>
      <c r="BD95" s="16"/>
      <c r="BE95" s="16"/>
      <c r="BF95" s="16"/>
      <c r="BG95" s="16"/>
      <c r="BH95" s="4"/>
      <c r="BI95" s="4">
        <f t="shared" si="4"/>
        <v>0</v>
      </c>
      <c r="BJ95" s="4">
        <f t="shared" si="5"/>
        <v>0</v>
      </c>
      <c r="BK95" s="4"/>
      <c r="BL95" s="3">
        <v>7</v>
      </c>
    </row>
    <row r="96" spans="1:64">
      <c r="A96" s="1">
        <v>8</v>
      </c>
      <c r="B96" s="4" t="str">
        <f>IF(MAESTRO!B12="","",MAESTRO!B12)</f>
        <v/>
      </c>
      <c r="C96" s="16"/>
      <c r="D96" s="78"/>
      <c r="E96" s="16"/>
      <c r="F96" s="16"/>
      <c r="G96" s="78"/>
      <c r="H96" s="78"/>
      <c r="I96" s="16"/>
      <c r="J96" s="16"/>
      <c r="K96" s="16"/>
      <c r="L96" s="16"/>
      <c r="M96" s="16"/>
      <c r="N96" s="16"/>
      <c r="O96" s="16"/>
      <c r="P96" s="16"/>
      <c r="Q96" s="16"/>
      <c r="R96" s="16"/>
      <c r="S96" s="16"/>
      <c r="T96" s="16"/>
      <c r="U96" s="16"/>
      <c r="V96" s="16"/>
      <c r="W96" s="16"/>
      <c r="X96" s="16"/>
      <c r="Y96" s="16"/>
      <c r="Z96" s="79"/>
      <c r="AA96" s="79"/>
      <c r="AB96" s="16"/>
      <c r="AC96" s="16"/>
      <c r="AD96" s="79"/>
      <c r="AE96" s="79"/>
      <c r="AF96" s="79"/>
      <c r="AG96" s="79"/>
      <c r="AH96" s="79"/>
      <c r="AI96" s="79"/>
      <c r="AJ96" s="79"/>
      <c r="AK96" s="79"/>
      <c r="AL96" s="79"/>
      <c r="AM96" s="79"/>
      <c r="AN96" s="79"/>
      <c r="AO96" s="79"/>
      <c r="AP96" s="79"/>
      <c r="AQ96" s="79"/>
      <c r="AR96" s="16"/>
      <c r="AS96" s="16"/>
      <c r="AT96" s="16"/>
      <c r="AU96" s="16"/>
      <c r="AV96" s="16"/>
      <c r="AW96" s="16"/>
      <c r="AX96" s="16"/>
      <c r="AY96" s="16"/>
      <c r="AZ96" s="16"/>
      <c r="BA96" s="16"/>
      <c r="BB96" s="16"/>
      <c r="BC96" s="16"/>
      <c r="BD96" s="16"/>
      <c r="BE96" s="16"/>
      <c r="BF96" s="16"/>
      <c r="BG96" s="16"/>
      <c r="BH96" s="4"/>
      <c r="BI96" s="4">
        <f t="shared" si="4"/>
        <v>0</v>
      </c>
      <c r="BJ96" s="4">
        <f t="shared" si="5"/>
        <v>0</v>
      </c>
      <c r="BK96" s="4"/>
      <c r="BL96" s="3">
        <v>8</v>
      </c>
    </row>
    <row r="97" spans="1:64">
      <c r="A97" s="1">
        <v>9</v>
      </c>
      <c r="B97" s="4" t="str">
        <f>IF(MAESTRO!B13="","",MAESTRO!B13)</f>
        <v/>
      </c>
      <c r="C97" s="16"/>
      <c r="D97" s="78"/>
      <c r="E97" s="16"/>
      <c r="F97" s="16"/>
      <c r="G97" s="78"/>
      <c r="H97" s="78"/>
      <c r="I97" s="16"/>
      <c r="J97" s="16"/>
      <c r="K97" s="16"/>
      <c r="L97" s="16"/>
      <c r="M97" s="16"/>
      <c r="N97" s="16"/>
      <c r="O97" s="16"/>
      <c r="P97" s="16"/>
      <c r="Q97" s="16"/>
      <c r="R97" s="16"/>
      <c r="S97" s="16"/>
      <c r="T97" s="16"/>
      <c r="U97" s="16"/>
      <c r="V97" s="16"/>
      <c r="W97" s="16"/>
      <c r="X97" s="16"/>
      <c r="Y97" s="16"/>
      <c r="Z97" s="79"/>
      <c r="AA97" s="79"/>
      <c r="AB97" s="16"/>
      <c r="AC97" s="16"/>
      <c r="AD97" s="79"/>
      <c r="AE97" s="79"/>
      <c r="AF97" s="79"/>
      <c r="AG97" s="79"/>
      <c r="AH97" s="79"/>
      <c r="AI97" s="79"/>
      <c r="AJ97" s="79"/>
      <c r="AK97" s="79"/>
      <c r="AL97" s="79"/>
      <c r="AM97" s="79"/>
      <c r="AN97" s="79"/>
      <c r="AO97" s="79"/>
      <c r="AP97" s="79"/>
      <c r="AQ97" s="79"/>
      <c r="AR97" s="16"/>
      <c r="AS97" s="16"/>
      <c r="AT97" s="16"/>
      <c r="AU97" s="16"/>
      <c r="AV97" s="16"/>
      <c r="AW97" s="16"/>
      <c r="AX97" s="16"/>
      <c r="AY97" s="16"/>
      <c r="AZ97" s="16"/>
      <c r="BA97" s="16"/>
      <c r="BB97" s="16"/>
      <c r="BC97" s="16"/>
      <c r="BD97" s="16"/>
      <c r="BE97" s="16"/>
      <c r="BF97" s="16"/>
      <c r="BG97" s="16"/>
      <c r="BH97" s="4"/>
      <c r="BI97" s="4">
        <f t="shared" si="4"/>
        <v>0</v>
      </c>
      <c r="BJ97" s="4">
        <f t="shared" si="5"/>
        <v>0</v>
      </c>
      <c r="BK97" s="4"/>
      <c r="BL97" s="3">
        <v>9</v>
      </c>
    </row>
    <row r="98" spans="1:64">
      <c r="A98" s="1">
        <v>10</v>
      </c>
      <c r="B98" s="4" t="str">
        <f>IF(MAESTRO!B14="","",MAESTRO!B14)</f>
        <v/>
      </c>
      <c r="C98" s="16"/>
      <c r="D98" s="78"/>
      <c r="E98" s="16"/>
      <c r="F98" s="16"/>
      <c r="G98" s="78"/>
      <c r="H98" s="78"/>
      <c r="I98" s="16"/>
      <c r="J98" s="16"/>
      <c r="K98" s="16"/>
      <c r="L98" s="16"/>
      <c r="M98" s="16"/>
      <c r="N98" s="16"/>
      <c r="O98" s="16"/>
      <c r="P98" s="16"/>
      <c r="Q98" s="16"/>
      <c r="R98" s="16"/>
      <c r="S98" s="16"/>
      <c r="T98" s="16"/>
      <c r="U98" s="16"/>
      <c r="V98" s="16"/>
      <c r="W98" s="16"/>
      <c r="X98" s="16"/>
      <c r="Y98" s="16"/>
      <c r="Z98" s="79"/>
      <c r="AA98" s="79"/>
      <c r="AB98" s="16"/>
      <c r="AC98" s="16"/>
      <c r="AD98" s="79"/>
      <c r="AE98" s="79"/>
      <c r="AF98" s="79"/>
      <c r="AG98" s="79"/>
      <c r="AH98" s="79"/>
      <c r="AI98" s="79"/>
      <c r="AJ98" s="79"/>
      <c r="AK98" s="79"/>
      <c r="AL98" s="79"/>
      <c r="AM98" s="79"/>
      <c r="AN98" s="79"/>
      <c r="AO98" s="79"/>
      <c r="AP98" s="79"/>
      <c r="AQ98" s="79"/>
      <c r="AR98" s="16"/>
      <c r="AS98" s="16"/>
      <c r="AT98" s="16"/>
      <c r="AU98" s="16"/>
      <c r="AV98" s="16"/>
      <c r="AW98" s="16"/>
      <c r="AX98" s="16"/>
      <c r="AY98" s="16"/>
      <c r="AZ98" s="16"/>
      <c r="BA98" s="16"/>
      <c r="BB98" s="16"/>
      <c r="BC98" s="16"/>
      <c r="BD98" s="16"/>
      <c r="BE98" s="16"/>
      <c r="BF98" s="16"/>
      <c r="BG98" s="16"/>
      <c r="BH98" s="4"/>
      <c r="BI98" s="4">
        <f t="shared" si="4"/>
        <v>0</v>
      </c>
      <c r="BJ98" s="4">
        <f t="shared" si="5"/>
        <v>0</v>
      </c>
      <c r="BK98" s="4"/>
      <c r="BL98" s="3">
        <v>10</v>
      </c>
    </row>
    <row r="99" spans="1:64">
      <c r="A99" s="1">
        <v>11</v>
      </c>
      <c r="B99" s="4" t="str">
        <f>IF(MAESTRO!B15="","",MAESTRO!B15)</f>
        <v/>
      </c>
      <c r="C99" s="16"/>
      <c r="D99" s="78"/>
      <c r="E99" s="16"/>
      <c r="F99" s="16"/>
      <c r="G99" s="78"/>
      <c r="H99" s="78"/>
      <c r="I99" s="16"/>
      <c r="J99" s="16"/>
      <c r="K99" s="16"/>
      <c r="L99" s="16"/>
      <c r="M99" s="16"/>
      <c r="N99" s="16"/>
      <c r="O99" s="16"/>
      <c r="P99" s="16"/>
      <c r="Q99" s="16"/>
      <c r="R99" s="16"/>
      <c r="S99" s="16"/>
      <c r="T99" s="16"/>
      <c r="U99" s="16"/>
      <c r="V99" s="16"/>
      <c r="W99" s="16"/>
      <c r="X99" s="16"/>
      <c r="Y99" s="16"/>
      <c r="Z99" s="79"/>
      <c r="AA99" s="79"/>
      <c r="AB99" s="16"/>
      <c r="AC99" s="16"/>
      <c r="AD99" s="79"/>
      <c r="AE99" s="79"/>
      <c r="AF99" s="79"/>
      <c r="AG99" s="79"/>
      <c r="AH99" s="79"/>
      <c r="AI99" s="79"/>
      <c r="AJ99" s="79"/>
      <c r="AK99" s="79"/>
      <c r="AL99" s="79"/>
      <c r="AM99" s="79"/>
      <c r="AN99" s="79"/>
      <c r="AO99" s="79"/>
      <c r="AP99" s="79"/>
      <c r="AQ99" s="79"/>
      <c r="AR99" s="16"/>
      <c r="AS99" s="16"/>
      <c r="AT99" s="16"/>
      <c r="AU99" s="16"/>
      <c r="AV99" s="16"/>
      <c r="AW99" s="16"/>
      <c r="AX99" s="16"/>
      <c r="AY99" s="16"/>
      <c r="AZ99" s="16"/>
      <c r="BA99" s="16"/>
      <c r="BB99" s="16"/>
      <c r="BC99" s="16"/>
      <c r="BD99" s="16"/>
      <c r="BE99" s="16"/>
      <c r="BF99" s="16"/>
      <c r="BG99" s="16"/>
      <c r="BH99" s="4"/>
      <c r="BI99" s="4">
        <f t="shared" si="4"/>
        <v>0</v>
      </c>
      <c r="BJ99" s="4">
        <f t="shared" si="5"/>
        <v>0</v>
      </c>
      <c r="BK99" s="4"/>
      <c r="BL99" s="3">
        <v>11</v>
      </c>
    </row>
    <row r="100" spans="1:64">
      <c r="A100" s="1">
        <v>12</v>
      </c>
      <c r="B100" s="4" t="str">
        <f>IF(MAESTRO!B16="","",MAESTRO!B16)</f>
        <v/>
      </c>
      <c r="C100" s="16"/>
      <c r="D100" s="78"/>
      <c r="E100" s="16"/>
      <c r="F100" s="16"/>
      <c r="G100" s="78"/>
      <c r="H100" s="78"/>
      <c r="I100" s="16"/>
      <c r="J100" s="16"/>
      <c r="K100" s="16"/>
      <c r="L100" s="16"/>
      <c r="M100" s="16"/>
      <c r="N100" s="16"/>
      <c r="O100" s="16"/>
      <c r="P100" s="16"/>
      <c r="Q100" s="16"/>
      <c r="R100" s="16"/>
      <c r="S100" s="16"/>
      <c r="T100" s="16"/>
      <c r="U100" s="16"/>
      <c r="V100" s="16"/>
      <c r="W100" s="16"/>
      <c r="X100" s="16"/>
      <c r="Y100" s="16"/>
      <c r="Z100" s="79"/>
      <c r="AA100" s="79"/>
      <c r="AB100" s="16"/>
      <c r="AC100" s="16"/>
      <c r="AD100" s="79"/>
      <c r="AE100" s="79"/>
      <c r="AF100" s="79"/>
      <c r="AG100" s="79"/>
      <c r="AH100" s="79"/>
      <c r="AI100" s="79"/>
      <c r="AJ100" s="79"/>
      <c r="AK100" s="79"/>
      <c r="AL100" s="79"/>
      <c r="AM100" s="79"/>
      <c r="AN100" s="79"/>
      <c r="AO100" s="79"/>
      <c r="AP100" s="79"/>
      <c r="AQ100" s="79"/>
      <c r="AR100" s="16"/>
      <c r="AS100" s="16"/>
      <c r="AT100" s="16"/>
      <c r="AU100" s="16"/>
      <c r="AV100" s="16"/>
      <c r="AW100" s="16"/>
      <c r="AX100" s="16"/>
      <c r="AY100" s="16"/>
      <c r="AZ100" s="16"/>
      <c r="BA100" s="16"/>
      <c r="BB100" s="16"/>
      <c r="BC100" s="16"/>
      <c r="BD100" s="16"/>
      <c r="BE100" s="16"/>
      <c r="BF100" s="16"/>
      <c r="BG100" s="16"/>
      <c r="BH100" s="4"/>
      <c r="BI100" s="4">
        <f t="shared" si="4"/>
        <v>0</v>
      </c>
      <c r="BJ100" s="4">
        <f t="shared" si="5"/>
        <v>0</v>
      </c>
      <c r="BK100" s="4"/>
      <c r="BL100" s="3">
        <v>12</v>
      </c>
    </row>
    <row r="101" spans="1:64">
      <c r="A101" s="1">
        <v>13</v>
      </c>
      <c r="B101" s="4" t="str">
        <f>IF(MAESTRO!B17="","",MAESTRO!B17)</f>
        <v/>
      </c>
      <c r="C101" s="16"/>
      <c r="D101" s="78"/>
      <c r="E101" s="16"/>
      <c r="F101" s="16"/>
      <c r="G101" s="78"/>
      <c r="H101" s="78"/>
      <c r="I101" s="16"/>
      <c r="J101" s="16"/>
      <c r="K101" s="16"/>
      <c r="L101" s="16"/>
      <c r="M101" s="16"/>
      <c r="N101" s="16"/>
      <c r="O101" s="16"/>
      <c r="P101" s="16"/>
      <c r="Q101" s="16"/>
      <c r="R101" s="16"/>
      <c r="S101" s="16"/>
      <c r="T101" s="16"/>
      <c r="U101" s="16"/>
      <c r="V101" s="16"/>
      <c r="W101" s="16"/>
      <c r="X101" s="16"/>
      <c r="Y101" s="16"/>
      <c r="Z101" s="79"/>
      <c r="AA101" s="79"/>
      <c r="AB101" s="16"/>
      <c r="AC101" s="16"/>
      <c r="AD101" s="79"/>
      <c r="AE101" s="79"/>
      <c r="AF101" s="79"/>
      <c r="AG101" s="79"/>
      <c r="AH101" s="79"/>
      <c r="AI101" s="79"/>
      <c r="AJ101" s="79"/>
      <c r="AK101" s="79"/>
      <c r="AL101" s="79"/>
      <c r="AM101" s="79"/>
      <c r="AN101" s="79"/>
      <c r="AO101" s="79"/>
      <c r="AP101" s="79"/>
      <c r="AQ101" s="79"/>
      <c r="AR101" s="16"/>
      <c r="AS101" s="16"/>
      <c r="AT101" s="16"/>
      <c r="AU101" s="16"/>
      <c r="AV101" s="16"/>
      <c r="AW101" s="16"/>
      <c r="AX101" s="16"/>
      <c r="AY101" s="16"/>
      <c r="AZ101" s="16"/>
      <c r="BA101" s="16"/>
      <c r="BB101" s="16"/>
      <c r="BC101" s="16"/>
      <c r="BD101" s="16"/>
      <c r="BE101" s="16"/>
      <c r="BF101" s="16"/>
      <c r="BG101" s="16"/>
      <c r="BH101" s="4"/>
      <c r="BI101" s="4">
        <f t="shared" si="4"/>
        <v>0</v>
      </c>
      <c r="BJ101" s="4">
        <f t="shared" si="5"/>
        <v>0</v>
      </c>
      <c r="BK101" s="4"/>
      <c r="BL101" s="3">
        <v>13</v>
      </c>
    </row>
    <row r="102" spans="1:64">
      <c r="A102" s="1">
        <v>14</v>
      </c>
      <c r="B102" s="4" t="str">
        <f>IF(MAESTRO!B18="","",MAESTRO!B18)</f>
        <v/>
      </c>
      <c r="C102" s="16"/>
      <c r="D102" s="78"/>
      <c r="E102" s="16"/>
      <c r="F102" s="16"/>
      <c r="G102" s="78"/>
      <c r="H102" s="78"/>
      <c r="I102" s="16"/>
      <c r="J102" s="16"/>
      <c r="K102" s="16"/>
      <c r="L102" s="16"/>
      <c r="M102" s="16"/>
      <c r="N102" s="16"/>
      <c r="O102" s="16"/>
      <c r="P102" s="16"/>
      <c r="Q102" s="16"/>
      <c r="R102" s="16"/>
      <c r="S102" s="16"/>
      <c r="T102" s="16"/>
      <c r="U102" s="16"/>
      <c r="V102" s="16"/>
      <c r="W102" s="16"/>
      <c r="X102" s="16"/>
      <c r="Y102" s="16"/>
      <c r="Z102" s="79"/>
      <c r="AA102" s="79"/>
      <c r="AB102" s="16"/>
      <c r="AC102" s="16"/>
      <c r="AD102" s="79"/>
      <c r="AE102" s="79"/>
      <c r="AF102" s="79"/>
      <c r="AG102" s="79"/>
      <c r="AH102" s="79"/>
      <c r="AI102" s="79"/>
      <c r="AJ102" s="79"/>
      <c r="AK102" s="79"/>
      <c r="AL102" s="79"/>
      <c r="AM102" s="79"/>
      <c r="AN102" s="79"/>
      <c r="AO102" s="79"/>
      <c r="AP102" s="79"/>
      <c r="AQ102" s="79"/>
      <c r="AR102" s="16"/>
      <c r="AS102" s="16"/>
      <c r="AT102" s="16"/>
      <c r="AU102" s="16"/>
      <c r="AV102" s="16"/>
      <c r="AW102" s="16"/>
      <c r="AX102" s="16"/>
      <c r="AY102" s="16"/>
      <c r="AZ102" s="16"/>
      <c r="BA102" s="16"/>
      <c r="BB102" s="16"/>
      <c r="BC102" s="16"/>
      <c r="BD102" s="16"/>
      <c r="BE102" s="16"/>
      <c r="BF102" s="16"/>
      <c r="BG102" s="16"/>
      <c r="BH102" s="4"/>
      <c r="BI102" s="4">
        <f t="shared" si="4"/>
        <v>0</v>
      </c>
      <c r="BJ102" s="4">
        <f t="shared" si="5"/>
        <v>0</v>
      </c>
      <c r="BK102" s="4"/>
      <c r="BL102" s="3">
        <v>14</v>
      </c>
    </row>
    <row r="103" spans="1:64">
      <c r="A103" s="1">
        <v>15</v>
      </c>
      <c r="B103" s="4" t="str">
        <f>IF(MAESTRO!B19="","",MAESTRO!B19)</f>
        <v/>
      </c>
      <c r="C103" s="16"/>
      <c r="D103" s="78"/>
      <c r="E103" s="16"/>
      <c r="F103" s="16"/>
      <c r="G103" s="78"/>
      <c r="H103" s="78"/>
      <c r="I103" s="16"/>
      <c r="J103" s="16"/>
      <c r="K103" s="16"/>
      <c r="L103" s="16"/>
      <c r="M103" s="16"/>
      <c r="N103" s="16"/>
      <c r="O103" s="16"/>
      <c r="P103" s="16"/>
      <c r="Q103" s="16"/>
      <c r="R103" s="16"/>
      <c r="S103" s="16"/>
      <c r="T103" s="16"/>
      <c r="U103" s="16"/>
      <c r="V103" s="16"/>
      <c r="W103" s="16"/>
      <c r="X103" s="16"/>
      <c r="Y103" s="16"/>
      <c r="Z103" s="79"/>
      <c r="AA103" s="79"/>
      <c r="AB103" s="16"/>
      <c r="AC103" s="16"/>
      <c r="AD103" s="79"/>
      <c r="AE103" s="79"/>
      <c r="AF103" s="79"/>
      <c r="AG103" s="79"/>
      <c r="AH103" s="79"/>
      <c r="AI103" s="79"/>
      <c r="AJ103" s="79"/>
      <c r="AK103" s="79"/>
      <c r="AL103" s="79"/>
      <c r="AM103" s="79"/>
      <c r="AN103" s="79"/>
      <c r="AO103" s="79"/>
      <c r="AP103" s="79"/>
      <c r="AQ103" s="79"/>
      <c r="AR103" s="16"/>
      <c r="AS103" s="16"/>
      <c r="AT103" s="16"/>
      <c r="AU103" s="16"/>
      <c r="AV103" s="16"/>
      <c r="AW103" s="16"/>
      <c r="AX103" s="16"/>
      <c r="AY103" s="16"/>
      <c r="AZ103" s="16"/>
      <c r="BA103" s="16"/>
      <c r="BB103" s="16"/>
      <c r="BC103" s="16"/>
      <c r="BD103" s="16"/>
      <c r="BE103" s="16"/>
      <c r="BF103" s="16"/>
      <c r="BG103" s="16"/>
      <c r="BH103" s="4"/>
      <c r="BI103" s="4">
        <f t="shared" si="4"/>
        <v>0</v>
      </c>
      <c r="BJ103" s="4">
        <f t="shared" si="5"/>
        <v>0</v>
      </c>
      <c r="BK103" s="4"/>
      <c r="BL103" s="3">
        <v>15</v>
      </c>
    </row>
    <row r="104" spans="1:64">
      <c r="A104" s="1">
        <v>16</v>
      </c>
      <c r="B104" s="4" t="str">
        <f>IF(MAESTRO!B20="","",MAESTRO!B20)</f>
        <v/>
      </c>
      <c r="C104" s="16"/>
      <c r="D104" s="78"/>
      <c r="E104" s="16"/>
      <c r="F104" s="16"/>
      <c r="G104" s="78"/>
      <c r="H104" s="78"/>
      <c r="I104" s="16"/>
      <c r="J104" s="16"/>
      <c r="K104" s="16"/>
      <c r="L104" s="16"/>
      <c r="M104" s="16"/>
      <c r="N104" s="16"/>
      <c r="O104" s="16"/>
      <c r="P104" s="16"/>
      <c r="Q104" s="16"/>
      <c r="R104" s="16"/>
      <c r="S104" s="16"/>
      <c r="T104" s="16"/>
      <c r="U104" s="16"/>
      <c r="V104" s="16"/>
      <c r="W104" s="16"/>
      <c r="X104" s="16"/>
      <c r="Y104" s="16"/>
      <c r="Z104" s="79"/>
      <c r="AA104" s="79"/>
      <c r="AB104" s="16"/>
      <c r="AC104" s="16"/>
      <c r="AD104" s="79"/>
      <c r="AE104" s="79"/>
      <c r="AF104" s="79"/>
      <c r="AG104" s="79"/>
      <c r="AH104" s="79"/>
      <c r="AI104" s="79"/>
      <c r="AJ104" s="79"/>
      <c r="AK104" s="79"/>
      <c r="AL104" s="79"/>
      <c r="AM104" s="79"/>
      <c r="AN104" s="79"/>
      <c r="AO104" s="79"/>
      <c r="AP104" s="79"/>
      <c r="AQ104" s="79"/>
      <c r="AR104" s="16"/>
      <c r="AS104" s="16"/>
      <c r="AT104" s="16"/>
      <c r="AU104" s="16"/>
      <c r="AV104" s="16"/>
      <c r="AW104" s="16"/>
      <c r="AX104" s="16"/>
      <c r="AY104" s="16"/>
      <c r="AZ104" s="16"/>
      <c r="BA104" s="16"/>
      <c r="BB104" s="16"/>
      <c r="BC104" s="16"/>
      <c r="BD104" s="16"/>
      <c r="BE104" s="16"/>
      <c r="BF104" s="16"/>
      <c r="BG104" s="16"/>
      <c r="BH104" s="4"/>
      <c r="BI104" s="4">
        <f t="shared" si="4"/>
        <v>0</v>
      </c>
      <c r="BJ104" s="4">
        <f t="shared" si="5"/>
        <v>0</v>
      </c>
      <c r="BK104" s="4"/>
      <c r="BL104" s="3">
        <v>16</v>
      </c>
    </row>
    <row r="105" spans="1:64">
      <c r="A105" s="1">
        <v>17</v>
      </c>
      <c r="B105" s="4" t="str">
        <f>IF(MAESTRO!B21="","",MAESTRO!B21)</f>
        <v/>
      </c>
      <c r="C105" s="16"/>
      <c r="D105" s="78"/>
      <c r="E105" s="16"/>
      <c r="F105" s="16"/>
      <c r="G105" s="78"/>
      <c r="H105" s="78"/>
      <c r="I105" s="16"/>
      <c r="J105" s="16"/>
      <c r="K105" s="16"/>
      <c r="L105" s="16"/>
      <c r="M105" s="16"/>
      <c r="N105" s="16"/>
      <c r="O105" s="16"/>
      <c r="P105" s="16"/>
      <c r="Q105" s="16"/>
      <c r="R105" s="16"/>
      <c r="S105" s="16"/>
      <c r="T105" s="16"/>
      <c r="U105" s="16"/>
      <c r="V105" s="16"/>
      <c r="W105" s="16"/>
      <c r="X105" s="16"/>
      <c r="Y105" s="16"/>
      <c r="Z105" s="79"/>
      <c r="AA105" s="79"/>
      <c r="AB105" s="16"/>
      <c r="AC105" s="16"/>
      <c r="AD105" s="79"/>
      <c r="AE105" s="79"/>
      <c r="AF105" s="79"/>
      <c r="AG105" s="79"/>
      <c r="AH105" s="79"/>
      <c r="AI105" s="79"/>
      <c r="AJ105" s="79"/>
      <c r="AK105" s="79"/>
      <c r="AL105" s="79"/>
      <c r="AM105" s="79"/>
      <c r="AN105" s="79"/>
      <c r="AO105" s="79"/>
      <c r="AP105" s="79"/>
      <c r="AQ105" s="79"/>
      <c r="AR105" s="16"/>
      <c r="AS105" s="16"/>
      <c r="AT105" s="16"/>
      <c r="AU105" s="16"/>
      <c r="AV105" s="16"/>
      <c r="AW105" s="16"/>
      <c r="AX105" s="16"/>
      <c r="AY105" s="16"/>
      <c r="AZ105" s="16"/>
      <c r="BA105" s="16"/>
      <c r="BB105" s="16"/>
      <c r="BC105" s="16"/>
      <c r="BD105" s="16"/>
      <c r="BE105" s="16"/>
      <c r="BF105" s="16"/>
      <c r="BG105" s="16"/>
      <c r="BH105" s="4"/>
      <c r="BI105" s="4">
        <f t="shared" si="4"/>
        <v>0</v>
      </c>
      <c r="BJ105" s="4">
        <f t="shared" si="5"/>
        <v>0</v>
      </c>
      <c r="BK105" s="4"/>
      <c r="BL105" s="3">
        <v>17</v>
      </c>
    </row>
    <row r="106" spans="1:64">
      <c r="A106" s="1">
        <v>18</v>
      </c>
      <c r="B106" s="4" t="str">
        <f>IF(MAESTRO!B22="","",MAESTRO!B22)</f>
        <v/>
      </c>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4"/>
      <c r="BI106" s="4">
        <f t="shared" si="4"/>
        <v>0</v>
      </c>
      <c r="BJ106" s="4">
        <f t="shared" si="5"/>
        <v>0</v>
      </c>
      <c r="BK106" s="4"/>
      <c r="BL106" s="3">
        <v>18</v>
      </c>
    </row>
    <row r="107" spans="1:64">
      <c r="A107" s="1">
        <v>19</v>
      </c>
      <c r="B107" s="4" t="str">
        <f>IF(MAESTRO!B23="","",MAESTRO!B23)</f>
        <v/>
      </c>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4"/>
      <c r="BI107" s="4">
        <f t="shared" si="4"/>
        <v>0</v>
      </c>
      <c r="BJ107" s="4">
        <f t="shared" si="5"/>
        <v>0</v>
      </c>
      <c r="BK107" s="4"/>
      <c r="BL107" s="3">
        <v>19</v>
      </c>
    </row>
    <row r="108" spans="1:64">
      <c r="A108" s="1">
        <v>20</v>
      </c>
      <c r="B108" s="4" t="str">
        <f>IF(MAESTRO!B24="","",MAESTRO!B24)</f>
        <v/>
      </c>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4"/>
      <c r="BI108" s="4">
        <f t="shared" si="4"/>
        <v>0</v>
      </c>
      <c r="BJ108" s="4">
        <f t="shared" si="5"/>
        <v>0</v>
      </c>
      <c r="BK108" s="4"/>
      <c r="BL108" s="3">
        <v>20</v>
      </c>
    </row>
    <row r="109" spans="1:64">
      <c r="A109" s="1">
        <v>21</v>
      </c>
      <c r="B109" s="4" t="str">
        <f>IF(MAESTRO!B25="","",MAESTRO!B25)</f>
        <v/>
      </c>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4"/>
      <c r="BI109" s="4">
        <f t="shared" si="4"/>
        <v>0</v>
      </c>
      <c r="BJ109" s="4">
        <f t="shared" si="5"/>
        <v>0</v>
      </c>
      <c r="BK109" s="4"/>
      <c r="BL109" s="3">
        <v>21</v>
      </c>
    </row>
    <row r="110" spans="1:64">
      <c r="A110" s="1">
        <v>22</v>
      </c>
      <c r="B110" s="4" t="str">
        <f>IF(MAESTRO!B26="","",MAESTRO!B26)</f>
        <v/>
      </c>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4"/>
      <c r="BI110" s="4">
        <f t="shared" si="4"/>
        <v>0</v>
      </c>
      <c r="BJ110" s="4">
        <f t="shared" si="5"/>
        <v>0</v>
      </c>
      <c r="BK110" s="4"/>
      <c r="BL110" s="3">
        <v>22</v>
      </c>
    </row>
    <row r="111" spans="1:64">
      <c r="A111" s="1">
        <v>23</v>
      </c>
      <c r="B111" s="4" t="str">
        <f>IF(MAESTRO!B27="","",MAESTRO!B27)</f>
        <v/>
      </c>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4"/>
      <c r="BI111" s="4">
        <f t="shared" si="4"/>
        <v>0</v>
      </c>
      <c r="BJ111" s="4">
        <f t="shared" si="5"/>
        <v>0</v>
      </c>
      <c r="BK111" s="4"/>
      <c r="BL111" s="3">
        <v>23</v>
      </c>
    </row>
    <row r="112" spans="1:64">
      <c r="A112" s="1">
        <v>24</v>
      </c>
      <c r="B112" s="4" t="str">
        <f>IF(MAESTRO!B28="","",MAESTRO!B28)</f>
        <v/>
      </c>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4"/>
      <c r="BI112" s="4">
        <f t="shared" si="4"/>
        <v>0</v>
      </c>
      <c r="BJ112" s="4">
        <f t="shared" si="5"/>
        <v>0</v>
      </c>
      <c r="BK112" s="4"/>
      <c r="BL112" s="3">
        <v>24</v>
      </c>
    </row>
    <row r="113" spans="1:64">
      <c r="A113" s="1">
        <v>25</v>
      </c>
      <c r="B113" s="4" t="str">
        <f>IF(MAESTRO!B29="","",MAESTRO!B29)</f>
        <v/>
      </c>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4"/>
      <c r="BI113" s="4">
        <f t="shared" si="4"/>
        <v>0</v>
      </c>
      <c r="BJ113" s="4">
        <f t="shared" si="5"/>
        <v>0</v>
      </c>
      <c r="BK113" s="4"/>
      <c r="BL113" s="3">
        <v>25</v>
      </c>
    </row>
    <row r="114" spans="1:64">
      <c r="A114" s="1">
        <v>26</v>
      </c>
      <c r="B114" s="4" t="str">
        <f>IF(MAESTRO!B30="","",MAESTRO!B30)</f>
        <v/>
      </c>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4"/>
      <c r="BI114" s="4">
        <f t="shared" si="4"/>
        <v>0</v>
      </c>
      <c r="BJ114" s="4">
        <f t="shared" si="5"/>
        <v>0</v>
      </c>
      <c r="BK114" s="4"/>
      <c r="BL114" s="3">
        <v>26</v>
      </c>
    </row>
    <row r="115" spans="1:64">
      <c r="A115" s="1">
        <v>27</v>
      </c>
      <c r="B115" s="4" t="str">
        <f>IF(MAESTRO!B31="","",MAESTRO!B31)</f>
        <v/>
      </c>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4"/>
      <c r="BI115" s="4">
        <f t="shared" si="4"/>
        <v>0</v>
      </c>
      <c r="BJ115" s="4">
        <f t="shared" si="5"/>
        <v>0</v>
      </c>
      <c r="BK115" s="4"/>
      <c r="BL115" s="3">
        <v>27</v>
      </c>
    </row>
    <row r="116" spans="1:64">
      <c r="A116" s="1">
        <v>28</v>
      </c>
      <c r="B116" s="4" t="str">
        <f>IF(MAESTRO!B32="","",MAESTRO!B32)</f>
        <v/>
      </c>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4"/>
      <c r="BI116" s="4">
        <f t="shared" si="4"/>
        <v>0</v>
      </c>
      <c r="BJ116" s="4">
        <f t="shared" si="5"/>
        <v>0</v>
      </c>
      <c r="BK116" s="4"/>
      <c r="BL116" s="3">
        <v>28</v>
      </c>
    </row>
    <row r="117" spans="1:64">
      <c r="A117" s="1">
        <v>29</v>
      </c>
      <c r="B117" s="4" t="str">
        <f>IF(MAESTRO!B33="","",MAESTRO!B33)</f>
        <v/>
      </c>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4"/>
      <c r="BI117" s="4">
        <f t="shared" si="4"/>
        <v>0</v>
      </c>
      <c r="BJ117" s="4">
        <f t="shared" si="5"/>
        <v>0</v>
      </c>
      <c r="BK117" s="4"/>
      <c r="BL117" s="3">
        <v>29</v>
      </c>
    </row>
    <row r="118" spans="1:64">
      <c r="A118" s="1">
        <v>30</v>
      </c>
      <c r="B118" s="4" t="str">
        <f>IF(MAESTRO!B34="","",MAESTRO!B34)</f>
        <v/>
      </c>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4"/>
      <c r="BI118" s="4">
        <f t="shared" si="4"/>
        <v>0</v>
      </c>
      <c r="BJ118" s="4">
        <f t="shared" si="5"/>
        <v>0</v>
      </c>
      <c r="BK118" s="4"/>
      <c r="BL118" s="3">
        <v>30</v>
      </c>
    </row>
    <row r="119" spans="1:64">
      <c r="A119" s="1">
        <v>31</v>
      </c>
      <c r="B119" s="4" t="str">
        <f>IF(MAESTRO!B35="","",MAESTRO!B35)</f>
        <v/>
      </c>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4"/>
      <c r="BI119" s="4">
        <f t="shared" si="4"/>
        <v>0</v>
      </c>
      <c r="BJ119" s="4">
        <f t="shared" si="5"/>
        <v>0</v>
      </c>
      <c r="BK119" s="4"/>
      <c r="BL119" s="3">
        <v>31</v>
      </c>
    </row>
    <row r="120" spans="1:64">
      <c r="A120" s="1">
        <v>32</v>
      </c>
      <c r="B120" s="4" t="str">
        <f>IF(MAESTRO!B36="","",MAESTRO!B36)</f>
        <v/>
      </c>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4"/>
      <c r="BI120" s="4">
        <f t="shared" si="4"/>
        <v>0</v>
      </c>
      <c r="BJ120" s="4">
        <f t="shared" si="5"/>
        <v>0</v>
      </c>
      <c r="BK120" s="4"/>
      <c r="BL120" s="3">
        <v>32</v>
      </c>
    </row>
    <row r="121" spans="1:64">
      <c r="A121" s="1">
        <v>33</v>
      </c>
      <c r="B121" s="4" t="str">
        <f>IF(MAESTRO!B37="","",MAESTRO!B37)</f>
        <v/>
      </c>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4"/>
      <c r="BI121" s="4">
        <f t="shared" si="4"/>
        <v>0</v>
      </c>
      <c r="BJ121" s="4">
        <f t="shared" si="5"/>
        <v>0</v>
      </c>
      <c r="BK121" s="4"/>
      <c r="BL121" s="3">
        <v>33</v>
      </c>
    </row>
    <row r="122" spans="1:64">
      <c r="A122" s="1">
        <v>34</v>
      </c>
      <c r="B122" s="4" t="str">
        <f>IF(MAESTRO!B38="","",MAESTRO!B38)</f>
        <v/>
      </c>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4"/>
      <c r="BI122" s="4">
        <f t="shared" si="4"/>
        <v>0</v>
      </c>
      <c r="BJ122" s="4">
        <f t="shared" si="5"/>
        <v>0</v>
      </c>
      <c r="BK122" s="4"/>
      <c r="BL122" s="3">
        <v>34</v>
      </c>
    </row>
    <row r="123" spans="1:64">
      <c r="A123" s="1">
        <v>35</v>
      </c>
      <c r="B123" s="4" t="str">
        <f>IF(MAESTRO!B39="","",MAESTRO!B39)</f>
        <v/>
      </c>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4"/>
      <c r="BI123" s="4">
        <f t="shared" si="4"/>
        <v>0</v>
      </c>
      <c r="BJ123" s="4">
        <f t="shared" si="5"/>
        <v>0</v>
      </c>
      <c r="BK123" s="4"/>
      <c r="BL123" s="3">
        <v>35</v>
      </c>
    </row>
    <row r="124" spans="1:64">
      <c r="A124" s="1">
        <v>36</v>
      </c>
      <c r="B124" s="4" t="str">
        <f>IF(MAESTRO!B40="","",MAESTRO!B40)</f>
        <v/>
      </c>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4"/>
      <c r="BI124" s="4">
        <f t="shared" si="4"/>
        <v>0</v>
      </c>
      <c r="BJ124" s="4">
        <f t="shared" si="5"/>
        <v>0</v>
      </c>
      <c r="BK124" s="4"/>
      <c r="BL124" s="3">
        <v>36</v>
      </c>
    </row>
    <row r="125" spans="1:64">
      <c r="A125" s="1">
        <v>37</v>
      </c>
      <c r="B125" s="4" t="str">
        <f>IF(MAESTRO!B41="","",MAESTRO!B41)</f>
        <v/>
      </c>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4"/>
      <c r="BI125" s="4">
        <f t="shared" si="4"/>
        <v>0</v>
      </c>
      <c r="BJ125" s="4">
        <f t="shared" si="5"/>
        <v>0</v>
      </c>
      <c r="BK125" s="4"/>
      <c r="BL125" s="3">
        <v>37</v>
      </c>
    </row>
    <row r="126" spans="1:64">
      <c r="A126" s="1">
        <v>38</v>
      </c>
      <c r="B126" s="4" t="str">
        <f>IF(MAESTRO!B42="","",MAESTRO!B42)</f>
        <v/>
      </c>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4"/>
      <c r="BI126" s="4">
        <f t="shared" si="4"/>
        <v>0</v>
      </c>
      <c r="BJ126" s="4">
        <f t="shared" si="5"/>
        <v>0</v>
      </c>
      <c r="BK126" s="4"/>
      <c r="BL126" s="3">
        <v>38</v>
      </c>
    </row>
    <row r="127" spans="1:64">
      <c r="A127" s="1">
        <v>39</v>
      </c>
      <c r="B127" s="4" t="str">
        <f>IF(MAESTRO!B43="","",MAESTRO!B43)</f>
        <v/>
      </c>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4"/>
      <c r="BI127" s="4">
        <f t="shared" si="4"/>
        <v>0</v>
      </c>
      <c r="BJ127" s="4">
        <f t="shared" si="5"/>
        <v>0</v>
      </c>
      <c r="BK127" s="4"/>
      <c r="BL127" s="3">
        <v>39</v>
      </c>
    </row>
    <row r="128" spans="1:64">
      <c r="A128" s="1">
        <v>40</v>
      </c>
      <c r="B128" s="4" t="str">
        <f>IF(MAESTRO!B44="","",MAESTRO!B44)</f>
        <v/>
      </c>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4"/>
      <c r="BI128" s="4">
        <f t="shared" si="4"/>
        <v>0</v>
      </c>
      <c r="BJ128" s="4">
        <f t="shared" si="5"/>
        <v>0</v>
      </c>
      <c r="BK128" s="4"/>
      <c r="BL128" s="3">
        <v>40</v>
      </c>
    </row>
    <row r="129" spans="1:64">
      <c r="A129" s="1">
        <v>41</v>
      </c>
      <c r="B129" s="4"/>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4"/>
      <c r="BI129" s="4">
        <f t="shared" si="4"/>
        <v>0</v>
      </c>
      <c r="BJ129" s="4">
        <f t="shared" si="5"/>
        <v>0</v>
      </c>
      <c r="BK129" s="4"/>
      <c r="BL129" s="3">
        <v>41</v>
      </c>
    </row>
    <row r="130" spans="1:64">
      <c r="A130" s="1">
        <v>42</v>
      </c>
      <c r="B130" s="4"/>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4"/>
      <c r="BI130" s="4">
        <f t="shared" si="4"/>
        <v>0</v>
      </c>
      <c r="BJ130" s="4">
        <f t="shared" si="5"/>
        <v>0</v>
      </c>
      <c r="BK130" s="4"/>
      <c r="BL130" s="3">
        <v>42</v>
      </c>
    </row>
    <row r="136" spans="1:64" ht="13.5" customHeight="1"/>
    <row r="137" spans="1:64" ht="14.4" customHeight="1">
      <c r="A137" s="75"/>
      <c r="B137" s="74"/>
      <c r="BI137" s="148"/>
      <c r="BJ137" s="107"/>
      <c r="BK137" s="67"/>
      <c r="BL137" s="67"/>
    </row>
    <row r="138" spans="1:64" ht="21.75" customHeight="1">
      <c r="A138" s="75"/>
      <c r="B138" s="74"/>
      <c r="BI138" s="73"/>
      <c r="BJ138" s="73"/>
      <c r="BK138" s="67"/>
      <c r="BL138" s="67"/>
    </row>
  </sheetData>
  <mergeCells count="16">
    <mergeCell ref="BI137:BJ137"/>
    <mergeCell ref="B44:B45"/>
    <mergeCell ref="A1:A2"/>
    <mergeCell ref="BI1:BJ1"/>
    <mergeCell ref="BK87:BK88"/>
    <mergeCell ref="B1:B2"/>
    <mergeCell ref="A44:A45"/>
    <mergeCell ref="BK1:BL2"/>
    <mergeCell ref="C1:BH1"/>
    <mergeCell ref="BI44:BJ44"/>
    <mergeCell ref="A87:A88"/>
    <mergeCell ref="C44:BH44"/>
    <mergeCell ref="B87:B88"/>
    <mergeCell ref="BK44:BK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&amp;U_______7°_______&amp;U                    NOMBRE DEL PROF./A CONSEJERO/A: _&amp;U_________________&amp;U__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7">
    <tabColor rgb="FF4472C4"/>
  </sheetPr>
  <dimension ref="A1:EE48"/>
  <sheetViews>
    <sheetView view="pageLayout" zoomScale="80" zoomScaleNormal="100" zoomScalePageLayoutView="80" workbookViewId="0">
      <selection activeCell="V10" sqref="V10"/>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20"/>
      <c r="AB5" s="20"/>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20"/>
      <c r="AB6" s="20"/>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20"/>
      <c r="AB7" s="20"/>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20"/>
      <c r="AB8" s="20"/>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20"/>
      <c r="AB9" s="20"/>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20"/>
      <c r="AB10" s="20"/>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20"/>
      <c r="AB11" s="20"/>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20"/>
      <c r="AB12" s="20"/>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5"/>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20"/>
      <c r="AB14" s="20"/>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20"/>
      <c r="AB15" s="20"/>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20"/>
      <c r="AB16" s="20"/>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20"/>
      <c r="AB17" s="20"/>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20"/>
      <c r="AB18" s="20"/>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20"/>
      <c r="AB19" s="20"/>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20"/>
      <c r="AB20" s="20"/>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20"/>
      <c r="AB21" s="20"/>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20"/>
      <c r="AB22" s="20"/>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20"/>
      <c r="AB23" s="20"/>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20"/>
      <c r="AB24" s="20"/>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20"/>
      <c r="AB25" s="20"/>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20"/>
      <c r="AB26" s="20"/>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20"/>
      <c r="AB27" s="20"/>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20"/>
      <c r="AB28" s="20"/>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20"/>
      <c r="AB29" s="20"/>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20"/>
      <c r="AB30" s="20"/>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20"/>
      <c r="AB31" s="20"/>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20"/>
      <c r="AB32" s="20"/>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20"/>
      <c r="AB33" s="20"/>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20"/>
      <c r="AB34" s="20"/>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20"/>
      <c r="AB35" s="20"/>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20"/>
      <c r="AB36" s="20"/>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20"/>
      <c r="AB37" s="20"/>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20"/>
      <c r="AB38" s="20"/>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CM40:CM48"/>
    <mergeCell ref="CN40:CN48"/>
    <mergeCell ref="CD40:CD48"/>
    <mergeCell ref="CE40:CE48"/>
    <mergeCell ref="CF40:CF48"/>
    <mergeCell ref="CG40:CG48"/>
    <mergeCell ref="CH40:CH48"/>
    <mergeCell ref="CI40:CI48"/>
    <mergeCell ref="CJ40:CJ48"/>
    <mergeCell ref="CK40:CK48"/>
    <mergeCell ref="CL40:CL48"/>
    <mergeCell ref="BU40:BU48"/>
    <mergeCell ref="BV40:BV48"/>
    <mergeCell ref="BW40:BW48"/>
    <mergeCell ref="BX40:BX48"/>
    <mergeCell ref="BY40:BY48"/>
    <mergeCell ref="BZ40:BZ48"/>
    <mergeCell ref="CA40:CA48"/>
    <mergeCell ref="CB40:CB48"/>
    <mergeCell ref="CC40:CC48"/>
    <mergeCell ref="Z39:Z48"/>
    <mergeCell ref="AA39:AA48"/>
    <mergeCell ref="AB39:AB48"/>
    <mergeCell ref="AC39:AC48"/>
    <mergeCell ref="AD39:AD48"/>
    <mergeCell ref="AK3:AX3"/>
    <mergeCell ref="AY3:BL3"/>
    <mergeCell ref="C3:Q3"/>
    <mergeCell ref="R3:AD3"/>
    <mergeCell ref="Q39:Q48"/>
    <mergeCell ref="R39:R48"/>
    <mergeCell ref="S39:S48"/>
    <mergeCell ref="T39:T48"/>
    <mergeCell ref="U39:U48"/>
    <mergeCell ref="V39:V48"/>
    <mergeCell ref="W39:W48"/>
    <mergeCell ref="X39:X48"/>
    <mergeCell ref="Y39:Y48"/>
    <mergeCell ref="H39:H48"/>
    <mergeCell ref="I39:I48"/>
    <mergeCell ref="J39:J48"/>
    <mergeCell ref="K39:K48"/>
    <mergeCell ref="L39:L48"/>
    <mergeCell ref="M39:M48"/>
    <mergeCell ref="N39:N48"/>
    <mergeCell ref="O39:O48"/>
    <mergeCell ref="P39:P48"/>
    <mergeCell ref="AY1:BO1"/>
    <mergeCell ref="AI21:AJ21"/>
    <mergeCell ref="CY22:CZ22"/>
    <mergeCell ref="CY31:CZ31"/>
    <mergeCell ref="AI14:AJ14"/>
    <mergeCell ref="CY46:CZ46"/>
    <mergeCell ref="AI23:AJ23"/>
    <mergeCell ref="A2:P2"/>
    <mergeCell ref="AX42:AX48"/>
    <mergeCell ref="A3:A4"/>
    <mergeCell ref="CY29:CZ29"/>
    <mergeCell ref="AI36:AJ36"/>
    <mergeCell ref="BQ16:BR16"/>
    <mergeCell ref="CY16:CZ16"/>
    <mergeCell ref="AI45:AJ45"/>
    <mergeCell ref="AH1:AX1"/>
    <mergeCell ref="BQ25:BR25"/>
    <mergeCell ref="AZ42:AZ48"/>
    <mergeCell ref="BP2:CF2"/>
    <mergeCell ref="CX2:DN2"/>
    <mergeCell ref="AI20:AJ20"/>
    <mergeCell ref="AI22:AJ22"/>
    <mergeCell ref="BQ11:BR11"/>
    <mergeCell ref="BQ42:BR42"/>
    <mergeCell ref="ED3:EE4"/>
    <mergeCell ref="AI8:AJ8"/>
    <mergeCell ref="AI17:AJ17"/>
    <mergeCell ref="CX3:CX4"/>
    <mergeCell ref="BQ40:BR40"/>
    <mergeCell ref="CY28:CZ28"/>
    <mergeCell ref="BQ37:BR37"/>
    <mergeCell ref="CY37:CZ37"/>
    <mergeCell ref="AI10:AJ10"/>
    <mergeCell ref="BQ24:BR24"/>
    <mergeCell ref="CY24:CZ24"/>
    <mergeCell ref="AI19:AJ19"/>
    <mergeCell ref="AI9:AJ9"/>
    <mergeCell ref="CY10:CZ10"/>
    <mergeCell ref="AI3:AJ4"/>
    <mergeCell ref="BQ26:BR26"/>
    <mergeCell ref="AI37:AJ37"/>
    <mergeCell ref="BS3:CF3"/>
    <mergeCell ref="CG3:CT3"/>
    <mergeCell ref="BS40:BS48"/>
    <mergeCell ref="BT40:BT48"/>
    <mergeCell ref="AM42:AM48"/>
    <mergeCell ref="CG1:CW1"/>
    <mergeCell ref="DN3:DN4"/>
    <mergeCell ref="AI47:AJ47"/>
    <mergeCell ref="BG42:BG48"/>
    <mergeCell ref="CY32:CZ32"/>
    <mergeCell ref="BQ39:BR39"/>
    <mergeCell ref="BQ14:BR14"/>
    <mergeCell ref="BN3:BO4"/>
    <mergeCell ref="CY42:CZ42"/>
    <mergeCell ref="CY30:CZ30"/>
    <mergeCell ref="CY5:CZ5"/>
    <mergeCell ref="CY34:CZ34"/>
    <mergeCell ref="CY13:CZ13"/>
    <mergeCell ref="BQ7:BR7"/>
    <mergeCell ref="AI33:AJ33"/>
    <mergeCell ref="CY7:CZ7"/>
    <mergeCell ref="AI42:AJ42"/>
    <mergeCell ref="CY43:CZ43"/>
    <mergeCell ref="CQ40:CQ48"/>
    <mergeCell ref="BJ42:BJ48"/>
    <mergeCell ref="CY9:CZ9"/>
    <mergeCell ref="CY45:CZ45"/>
    <mergeCell ref="CY20:CZ20"/>
    <mergeCell ref="R2:AG2"/>
    <mergeCell ref="DO2:EE2"/>
    <mergeCell ref="DO3:DX3"/>
    <mergeCell ref="BQ22:BR22"/>
    <mergeCell ref="AI32:AJ32"/>
    <mergeCell ref="BQ12:BR12"/>
    <mergeCell ref="CY11:CZ11"/>
    <mergeCell ref="AI46:AJ46"/>
    <mergeCell ref="AS42:AS48"/>
    <mergeCell ref="AK42:AK48"/>
    <mergeCell ref="AU42:AU48"/>
    <mergeCell ref="AI12:AJ12"/>
    <mergeCell ref="BI42:BI48"/>
    <mergeCell ref="BL42:BL48"/>
    <mergeCell ref="CO40:CO48"/>
    <mergeCell ref="CP40:CP48"/>
    <mergeCell ref="CY40:CZ40"/>
    <mergeCell ref="CY27:CZ27"/>
    <mergeCell ref="AE3:AE4"/>
    <mergeCell ref="CY25:CZ25"/>
    <mergeCell ref="AI31:AJ31"/>
    <mergeCell ref="BQ43:BR43"/>
    <mergeCell ref="CY35:CZ35"/>
    <mergeCell ref="EC3:EC4"/>
    <mergeCell ref="C39:C48"/>
    <mergeCell ref="D39:D48"/>
    <mergeCell ref="E39:E48"/>
    <mergeCell ref="F39:F48"/>
    <mergeCell ref="G39:G48"/>
    <mergeCell ref="BQ36:BR36"/>
    <mergeCell ref="AI30:AJ30"/>
    <mergeCell ref="BQ33:BR33"/>
    <mergeCell ref="AI6:AJ6"/>
    <mergeCell ref="BQ20:BR20"/>
    <mergeCell ref="AI11:AJ11"/>
    <mergeCell ref="AR42:AR48"/>
    <mergeCell ref="BQ35:BR35"/>
    <mergeCell ref="BQ48:BR48"/>
    <mergeCell ref="BB42:BB48"/>
    <mergeCell ref="BD42:BD48"/>
    <mergeCell ref="AI44:AJ44"/>
    <mergeCell ref="BQ34:BR34"/>
    <mergeCell ref="AI34:AJ34"/>
    <mergeCell ref="AI28:AJ28"/>
    <mergeCell ref="BH42:BH48"/>
    <mergeCell ref="BQ23:BR23"/>
    <mergeCell ref="BQ46:BR46"/>
    <mergeCell ref="AI18:AJ18"/>
    <mergeCell ref="R1:AG1"/>
    <mergeCell ref="CY6:CZ6"/>
    <mergeCell ref="CY44:CZ44"/>
    <mergeCell ref="CY15:CZ15"/>
    <mergeCell ref="DA3:DM3"/>
    <mergeCell ref="CG2:CW2"/>
    <mergeCell ref="BQ31:BR31"/>
    <mergeCell ref="AI26:AJ26"/>
    <mergeCell ref="AF3:AG4"/>
    <mergeCell ref="CY12:CZ12"/>
    <mergeCell ref="AI7:AJ7"/>
    <mergeCell ref="AW42:AW48"/>
    <mergeCell ref="AI40:AJ40"/>
    <mergeCell ref="AY42:AY48"/>
    <mergeCell ref="CY41:CZ41"/>
    <mergeCell ref="AI43:AJ43"/>
    <mergeCell ref="AP42:AP48"/>
    <mergeCell ref="AH2:AX2"/>
    <mergeCell ref="CY38:CZ38"/>
    <mergeCell ref="AT42:AT48"/>
    <mergeCell ref="BQ10:BR10"/>
    <mergeCell ref="AH3:AH4"/>
    <mergeCell ref="CY47:CZ47"/>
    <mergeCell ref="BQ38:BR38"/>
    <mergeCell ref="A1:P1"/>
    <mergeCell ref="CY3:CZ4"/>
    <mergeCell ref="BQ21:BR21"/>
    <mergeCell ref="CY21:CZ21"/>
    <mergeCell ref="AI16:AJ16"/>
    <mergeCell ref="B3:B4"/>
    <mergeCell ref="AI38:AJ38"/>
    <mergeCell ref="CY39:CZ39"/>
    <mergeCell ref="BQ3:BR4"/>
    <mergeCell ref="CY36:CZ36"/>
    <mergeCell ref="CY18:CZ18"/>
    <mergeCell ref="BP3:BP4"/>
    <mergeCell ref="BQ5:BR5"/>
    <mergeCell ref="AI15:AJ15"/>
    <mergeCell ref="BQ29:BR29"/>
    <mergeCell ref="AI24:AJ24"/>
    <mergeCell ref="CV3:CW4"/>
    <mergeCell ref="CY23:CZ23"/>
    <mergeCell ref="BP1:CF1"/>
    <mergeCell ref="CU3:CU4"/>
    <mergeCell ref="BQ8:BR8"/>
    <mergeCell ref="CY8:CZ8"/>
    <mergeCell ref="BQ17:BR17"/>
    <mergeCell ref="CY17:CZ17"/>
    <mergeCell ref="CY19:CZ19"/>
    <mergeCell ref="BQ19:BR19"/>
    <mergeCell ref="BF42:BF48"/>
    <mergeCell ref="AI48:AJ48"/>
    <mergeCell ref="BQ28:BR28"/>
    <mergeCell ref="AI29:AJ29"/>
    <mergeCell ref="BQ9:BR9"/>
    <mergeCell ref="CY48:CZ48"/>
    <mergeCell ref="BQ30:BR30"/>
    <mergeCell ref="BQ45:BR45"/>
    <mergeCell ref="AL42:AL48"/>
    <mergeCell ref="BQ32:BR32"/>
    <mergeCell ref="AI27:AJ27"/>
    <mergeCell ref="AN42:AN48"/>
    <mergeCell ref="AI41:AJ41"/>
    <mergeCell ref="BQ41:BR41"/>
    <mergeCell ref="AI35:AJ35"/>
    <mergeCell ref="BQ47:BR47"/>
    <mergeCell ref="AI25:AJ25"/>
    <mergeCell ref="CY26:CZ26"/>
    <mergeCell ref="CR40:CR48"/>
    <mergeCell ref="CS40:CS48"/>
    <mergeCell ref="CT40:CT48"/>
    <mergeCell ref="BK42:BK48"/>
    <mergeCell ref="BQ27:BR27"/>
    <mergeCell ref="AI13:AJ13"/>
    <mergeCell ref="BQ13:BR13"/>
    <mergeCell ref="BQ44:BR44"/>
    <mergeCell ref="DO1:EE1"/>
    <mergeCell ref="CY33:CZ33"/>
    <mergeCell ref="AO42:AO48"/>
    <mergeCell ref="BQ6:BR6"/>
    <mergeCell ref="AQ42:AQ48"/>
    <mergeCell ref="BQ15:BR15"/>
    <mergeCell ref="DY3:DY4"/>
    <mergeCell ref="CY14:CZ14"/>
    <mergeCell ref="BA42:BA48"/>
    <mergeCell ref="BC42:BC48"/>
    <mergeCell ref="EB3:EB4"/>
    <mergeCell ref="BE42:BE48"/>
    <mergeCell ref="DZ3:EA4"/>
    <mergeCell ref="AY2:BO2"/>
    <mergeCell ref="BQ18:BR18"/>
    <mergeCell ref="CX1:DN1"/>
    <mergeCell ref="AI5:AJ5"/>
    <mergeCell ref="AV42:AV48"/>
    <mergeCell ref="BM3:BM4"/>
    <mergeCell ref="AI39:AJ39"/>
  </mergeCells>
  <conditionalFormatting sqref="AE1:AE41 AE49:AE1048576">
    <cfRule type="cellIs" dxfId="26" priority="4" operator="lessThan">
      <formula>3</formula>
    </cfRule>
  </conditionalFormatting>
  <conditionalFormatting sqref="BM3:BM4">
    <cfRule type="cellIs" dxfId="25"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8">
    <tabColor rgb="FF70A0D4"/>
  </sheetPr>
  <dimension ref="B3:Q56"/>
  <sheetViews>
    <sheetView view="pageLayout" topLeftCell="A41" zoomScale="70" zoomScaleNormal="100" zoomScalePageLayoutView="70" workbookViewId="0">
      <selection activeCell="M53" sqref="M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129</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1" t="str">
        <f>IF(MAESTRO!D5="","",MAESTRO!E5)</f>
        <v/>
      </c>
      <c r="F16" s="47" t="str">
        <f>IF(MAESTRO!B5="","",IFERROR('PROM (Ingles)'!AE5,""))</f>
        <v/>
      </c>
      <c r="G16" s="47" t="str">
        <f>IF(MAESTRO!B5="","",IFERROR('PROM (Ingles)'!BM5,""))</f>
        <v/>
      </c>
      <c r="H16" s="47" t="str">
        <f>IF(MAESTRO!B5="","",IFERROR('PROM (Ingles)'!CU5,""))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P52" si="0">SUM(J16,L16,N16)</f>
        <v>0</v>
      </c>
      <c r="Q16" s="54">
        <f t="shared" ref="Q16:Q52" si="1">SUM(K16,M16,O16)</f>
        <v>0</v>
      </c>
    </row>
    <row r="17" spans="2:17">
      <c r="B17" s="9">
        <v>2</v>
      </c>
      <c r="C17" s="11" t="str">
        <f>IF(MAESTRO!B6="","",MAESTRO!B6)</f>
        <v/>
      </c>
      <c r="D17" s="15"/>
      <c r="E17" s="11" t="str">
        <f>IF(MAESTRO!D6="","",MAESTRO!E6)</f>
        <v/>
      </c>
      <c r="F17" s="47" t="str">
        <f>IF(MAESTRO!B6="","",IFERROR('PROM (Ingles)'!AE6,""))</f>
        <v/>
      </c>
      <c r="G17" s="47" t="str">
        <f>IF(MAESTRO!B6="","",IFERROR('PROM (Ingles)'!BM6,""))</f>
        <v/>
      </c>
      <c r="H17" s="47" t="str">
        <f>IF(MAESTRO!B6="","",IFERROR('PROM (Ingles)'!CU6,""))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1"/>
        <v>0</v>
      </c>
    </row>
    <row r="18" spans="2:17">
      <c r="B18" s="9">
        <v>3</v>
      </c>
      <c r="C18" s="11" t="str">
        <f>IF(MAESTRO!B7="","",MAESTRO!B7)</f>
        <v/>
      </c>
      <c r="D18" s="15"/>
      <c r="E18" s="11" t="str">
        <f>IF(MAESTRO!D7="","",MAESTRO!E7)</f>
        <v/>
      </c>
      <c r="F18" s="47" t="str">
        <f>IF(MAESTRO!B7="","",IFERROR('PROM (Ingles)'!AE7,""))</f>
        <v/>
      </c>
      <c r="G18" s="47" t="str">
        <f>IF(MAESTRO!B7="","",IFERROR('PROM (Ingles)'!BM7,""))</f>
        <v/>
      </c>
      <c r="H18" s="47" t="str">
        <f>IF(MAESTRO!B7="","",IFERROR('PROM (Ingles)'!CU7,""))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1"/>
        <v>0</v>
      </c>
    </row>
    <row r="19" spans="2:17">
      <c r="B19" s="9">
        <v>4</v>
      </c>
      <c r="C19" s="11" t="str">
        <f>IF(MAESTRO!B8="","",MAESTRO!B8)</f>
        <v/>
      </c>
      <c r="D19" s="15"/>
      <c r="E19" s="11" t="str">
        <f>IF(MAESTRO!D8="","",MAESTRO!E8)</f>
        <v/>
      </c>
      <c r="F19" s="47" t="str">
        <f>IF(MAESTRO!B8="","",IFERROR('PROM (Ingles)'!AE8,""))</f>
        <v/>
      </c>
      <c r="G19" s="47" t="str">
        <f>IF(MAESTRO!B8="","",IFERROR('PROM (Ingles)'!BM8,""))</f>
        <v/>
      </c>
      <c r="H19" s="47" t="str">
        <f>IF(MAESTRO!B8="","",IFERROR('PROM (Ingles)'!CU8,""))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1"/>
        <v>0</v>
      </c>
    </row>
    <row r="20" spans="2:17">
      <c r="B20" s="9">
        <v>5</v>
      </c>
      <c r="C20" s="11" t="str">
        <f>IF(MAESTRO!B9="","",MAESTRO!B9)</f>
        <v/>
      </c>
      <c r="D20" s="15"/>
      <c r="E20" s="11" t="str">
        <f>IF(MAESTRO!D9="","",MAESTRO!E9)</f>
        <v/>
      </c>
      <c r="F20" s="47" t="str">
        <f>IF(MAESTRO!B9="","",IFERROR('PROM (Ingles)'!AE9,""))</f>
        <v/>
      </c>
      <c r="G20" s="47" t="str">
        <f>IF(MAESTRO!B9="","",IFERROR('PROM (Ingles)'!BM9,""))</f>
        <v/>
      </c>
      <c r="H20" s="47" t="str">
        <f>IF(MAESTRO!B9="","",IFERROR('PROM (Ingles)'!CU9,""))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1"/>
        <v>0</v>
      </c>
    </row>
    <row r="21" spans="2:17">
      <c r="B21" s="9">
        <v>6</v>
      </c>
      <c r="C21" s="11" t="str">
        <f>IF(MAESTRO!B10="","",MAESTRO!B10)</f>
        <v/>
      </c>
      <c r="D21" s="15"/>
      <c r="E21" s="11" t="str">
        <f>IF(MAESTRO!D10="","",MAESTRO!E10)</f>
        <v/>
      </c>
      <c r="F21" s="47" t="str">
        <f>IF(MAESTRO!B10="","",IFERROR('PROM (Ingles)'!AE10,""))</f>
        <v/>
      </c>
      <c r="G21" s="47" t="str">
        <f>IF(MAESTRO!B10="","",IFERROR('PROM (Ingles)'!BM10,""))</f>
        <v/>
      </c>
      <c r="H21" s="47" t="str">
        <f>IF(MAESTRO!B10="","",IFERROR('PROM (Ingles)'!CU10,""))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1"/>
        <v>0</v>
      </c>
    </row>
    <row r="22" spans="2:17">
      <c r="B22" s="9">
        <v>7</v>
      </c>
      <c r="C22" s="11" t="str">
        <f>IF(MAESTRO!B11="","",MAESTRO!B11)</f>
        <v/>
      </c>
      <c r="D22" s="15"/>
      <c r="E22" s="11" t="str">
        <f>IF(MAESTRO!D11="","",MAESTRO!E11)</f>
        <v/>
      </c>
      <c r="F22" s="47" t="str">
        <f>IF(MAESTRO!B11="","",IFERROR('PROM (Ingles)'!AE11,""))</f>
        <v/>
      </c>
      <c r="G22" s="47" t="str">
        <f>IF(MAESTRO!B11="","",IFERROR('PROM (Ingles)'!BM11,""))</f>
        <v/>
      </c>
      <c r="H22" s="47" t="str">
        <f>IF(MAESTRO!B11="","",IFERROR('PROM (Ingles)'!CU11,""))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1"/>
        <v>0</v>
      </c>
    </row>
    <row r="23" spans="2:17">
      <c r="B23" s="9">
        <v>8</v>
      </c>
      <c r="C23" s="11" t="str">
        <f>IF(MAESTRO!B12="","",MAESTRO!B12)</f>
        <v/>
      </c>
      <c r="D23" s="15"/>
      <c r="E23" s="11" t="str">
        <f>IF(MAESTRO!D12="","",MAESTRO!E12)</f>
        <v/>
      </c>
      <c r="F23" s="47" t="str">
        <f>IF(MAESTRO!B12="","",IFERROR('PROM (Ingles)'!AE12,""))</f>
        <v/>
      </c>
      <c r="G23" s="47" t="str">
        <f>IF(MAESTRO!B12="","",IFERROR('PROM (Ingles)'!BM12,""))</f>
        <v/>
      </c>
      <c r="H23" s="47" t="str">
        <f>IF(MAESTRO!B12="","",IFERROR('PROM (Ingles)'!CU12,""))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1"/>
        <v>0</v>
      </c>
    </row>
    <row r="24" spans="2:17">
      <c r="B24" s="9">
        <v>9</v>
      </c>
      <c r="C24" s="11" t="str">
        <f>IF(MAESTRO!B13="","",MAESTRO!B13)</f>
        <v/>
      </c>
      <c r="D24" s="15"/>
      <c r="E24" s="11" t="str">
        <f>IF(MAESTRO!D13="","",MAESTRO!E13)</f>
        <v/>
      </c>
      <c r="F24" s="47" t="str">
        <f>IF(MAESTRO!B13="","",IFERROR('PROM (Ingles)'!AE13,""))</f>
        <v/>
      </c>
      <c r="G24" s="47" t="str">
        <f>IF(MAESTRO!B13="","",IFERROR('PROM (Ingles)'!BM13,""))</f>
        <v/>
      </c>
      <c r="H24" s="47" t="str">
        <f>IF(MAESTRO!B13="","",IFERROR('PROM (Ingles)'!CU13,""))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1"/>
        <v>0</v>
      </c>
    </row>
    <row r="25" spans="2:17">
      <c r="B25" s="9">
        <v>10</v>
      </c>
      <c r="C25" s="11" t="str">
        <f>IF(MAESTRO!B14="","",MAESTRO!B14)</f>
        <v/>
      </c>
      <c r="D25" s="15"/>
      <c r="E25" s="11" t="str">
        <f>IF(MAESTRO!D14="","",MAESTRO!E14)</f>
        <v/>
      </c>
      <c r="F25" s="47" t="str">
        <f>IF(MAESTRO!B14="","",IFERROR('PROM (Ingles)'!AE14,""))</f>
        <v/>
      </c>
      <c r="G25" s="47" t="str">
        <f>IF(MAESTRO!B14="","",IFERROR('PROM (Ingles)'!BM14,""))</f>
        <v/>
      </c>
      <c r="H25" s="47" t="str">
        <f>IF(MAESTRO!B14="","",IFERROR('PROM (Ingles)'!CU14,""))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1"/>
        <v>0</v>
      </c>
    </row>
    <row r="26" spans="2:17">
      <c r="B26" s="9">
        <v>11</v>
      </c>
      <c r="C26" s="11" t="str">
        <f>IF(MAESTRO!B15="","",MAESTRO!B15)</f>
        <v/>
      </c>
      <c r="D26" s="15"/>
      <c r="E26" s="11" t="str">
        <f>IF(MAESTRO!D15="","",MAESTRO!E15)</f>
        <v/>
      </c>
      <c r="F26" s="47" t="str">
        <f>IF(MAESTRO!B15="","",IFERROR('PROM (Ingles)'!AE15,""))</f>
        <v/>
      </c>
      <c r="G26" s="47" t="str">
        <f>IF(MAESTRO!B15="","",IFERROR('PROM (Ingles)'!BM15,""))</f>
        <v/>
      </c>
      <c r="H26" s="47" t="str">
        <f>IF(MAESTRO!B15="","",IFERROR('PROM (Ingles)'!CU15,""))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1"/>
        <v>0</v>
      </c>
    </row>
    <row r="27" spans="2:17">
      <c r="B27" s="9">
        <v>12</v>
      </c>
      <c r="C27" s="11" t="str">
        <f>IF(MAESTRO!B16="","",MAESTRO!B16)</f>
        <v/>
      </c>
      <c r="D27" s="15"/>
      <c r="E27" s="11" t="str">
        <f>IF(MAESTRO!D16="","",MAESTRO!E16)</f>
        <v/>
      </c>
      <c r="F27" s="47" t="str">
        <f>IF(MAESTRO!B16="","",IFERROR('PROM (Ingles)'!AE16,""))</f>
        <v/>
      </c>
      <c r="G27" s="47" t="str">
        <f>IF(MAESTRO!B16="","",IFERROR('PROM (Ingles)'!BM16,""))</f>
        <v/>
      </c>
      <c r="H27" s="47" t="str">
        <f>IF(MAESTRO!B16="","",IFERROR('PROM (Ingles)'!CU16,""))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1"/>
        <v>0</v>
      </c>
    </row>
    <row r="28" spans="2:17">
      <c r="B28" s="9">
        <v>13</v>
      </c>
      <c r="C28" s="11" t="str">
        <f>IF(MAESTRO!B17="","",MAESTRO!B17)</f>
        <v/>
      </c>
      <c r="D28" s="15"/>
      <c r="E28" s="11" t="str">
        <f>IF(MAESTRO!D17="","",MAESTRO!E17)</f>
        <v/>
      </c>
      <c r="F28" s="47" t="str">
        <f>IF(MAESTRO!B17="","",IFERROR('PROM (Ingles)'!AE17,""))</f>
        <v/>
      </c>
      <c r="G28" s="47" t="str">
        <f>IF(MAESTRO!B17="","",IFERROR('PROM (Ingles)'!BM17,""))</f>
        <v/>
      </c>
      <c r="H28" s="47" t="str">
        <f>IF(MAESTRO!B17="","",IFERROR('PROM (Ingles)'!CU17,""))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1"/>
        <v>0</v>
      </c>
    </row>
    <row r="29" spans="2:17">
      <c r="B29" s="9">
        <v>14</v>
      </c>
      <c r="C29" s="11" t="str">
        <f>IF(MAESTRO!B18="","",MAESTRO!B18)</f>
        <v/>
      </c>
      <c r="D29" s="15"/>
      <c r="E29" s="11" t="str">
        <f>IF(MAESTRO!D18="","",MAESTRO!E18)</f>
        <v/>
      </c>
      <c r="F29" s="47" t="str">
        <f>IF(MAESTRO!B18="","",IFERROR('PROM (Ingles)'!AE18,""))</f>
        <v/>
      </c>
      <c r="G29" s="47" t="str">
        <f>IF(MAESTRO!B18="","",IFERROR('PROM (Ingles)'!BM18,""))</f>
        <v/>
      </c>
      <c r="H29" s="47" t="str">
        <f>IF(MAESTRO!B18="","",IFERROR('PROM (Ingles)'!CU18,""))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1"/>
        <v>0</v>
      </c>
    </row>
    <row r="30" spans="2:17">
      <c r="B30" s="9">
        <v>15</v>
      </c>
      <c r="C30" s="11" t="str">
        <f>IF(MAESTRO!B19="","",MAESTRO!B19)</f>
        <v/>
      </c>
      <c r="D30" s="15"/>
      <c r="E30" s="11" t="str">
        <f>IF(MAESTRO!D19="","",MAESTRO!E19)</f>
        <v/>
      </c>
      <c r="F30" s="47" t="str">
        <f>IF(MAESTRO!B19="","",IFERROR('PROM (Ingles)'!AE19,""))</f>
        <v/>
      </c>
      <c r="G30" s="47" t="str">
        <f>IF(MAESTRO!B19="","",IFERROR('PROM (Ingles)'!BM19,""))</f>
        <v/>
      </c>
      <c r="H30" s="47" t="str">
        <f>IF(MAESTRO!B19="","",IFERROR('PROM (Ingles)'!CU19,""))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1"/>
        <v>0</v>
      </c>
    </row>
    <row r="31" spans="2:17">
      <c r="B31" s="9">
        <v>16</v>
      </c>
      <c r="C31" s="11" t="str">
        <f>IF(MAESTRO!B20="","",MAESTRO!B20)</f>
        <v/>
      </c>
      <c r="D31" s="15"/>
      <c r="E31" s="11" t="str">
        <f>IF(MAESTRO!D20="","",MAESTRO!E20)</f>
        <v/>
      </c>
      <c r="F31" s="47" t="str">
        <f>IF(MAESTRO!B20="","",IFERROR('PROM (Ingles)'!AE20,""))</f>
        <v/>
      </c>
      <c r="G31" s="47" t="str">
        <f>IF(MAESTRO!B20="","",IFERROR('PROM (Ingles)'!BM20,""))</f>
        <v/>
      </c>
      <c r="H31" s="47" t="str">
        <f>IF(MAESTRO!B20="","",IFERROR('PROM (Ingles)'!CU20,""))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1"/>
        <v>0</v>
      </c>
    </row>
    <row r="32" spans="2:17">
      <c r="B32" s="9">
        <v>17</v>
      </c>
      <c r="C32" s="11" t="str">
        <f>IF(MAESTRO!B21="","",MAESTRO!B21)</f>
        <v/>
      </c>
      <c r="D32" s="15"/>
      <c r="E32" s="11" t="str">
        <f>IF(MAESTRO!D21="","",MAESTRO!E21)</f>
        <v/>
      </c>
      <c r="F32" s="47" t="str">
        <f>IF(MAESTRO!B21="","",IFERROR('PROM (Ingles)'!AE21,""))</f>
        <v/>
      </c>
      <c r="G32" s="47" t="str">
        <f>IF(MAESTRO!B21="","",IFERROR('PROM (Ingles)'!BM21,""))</f>
        <v/>
      </c>
      <c r="H32" s="47" t="str">
        <f>IF(MAESTRO!B21="","",IFERROR('PROM (Ingles)'!CU21,""))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1"/>
        <v>0</v>
      </c>
    </row>
    <row r="33" spans="2:17">
      <c r="B33" s="9">
        <v>18</v>
      </c>
      <c r="C33" s="11" t="str">
        <f>IF(MAESTRO!B22="","",MAESTRO!B22)</f>
        <v/>
      </c>
      <c r="D33" s="15"/>
      <c r="E33" s="11" t="str">
        <f>IF(MAESTRO!D22="","",MAESTRO!E22)</f>
        <v/>
      </c>
      <c r="F33" s="47" t="str">
        <f>IF(MAESTRO!B22="","",IFERROR('PROM (Ingles)'!AE22,""))</f>
        <v/>
      </c>
      <c r="G33" s="47" t="str">
        <f>IF(MAESTRO!B22="","",IFERROR('PROM (Ingles)'!BM22,""))</f>
        <v/>
      </c>
      <c r="H33" s="47" t="str">
        <f>IF(MAESTRO!B22="","",IFERROR('PROM (Ingles)'!CU22,""))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1"/>
        <v>0</v>
      </c>
    </row>
    <row r="34" spans="2:17">
      <c r="B34" s="9">
        <v>19</v>
      </c>
      <c r="C34" s="11" t="str">
        <f>IF(MAESTRO!B23="","",MAESTRO!B23)</f>
        <v/>
      </c>
      <c r="D34" s="15"/>
      <c r="E34" s="11" t="str">
        <f>IF(MAESTRO!D23="","",MAESTRO!E23)</f>
        <v/>
      </c>
      <c r="F34" s="47" t="str">
        <f>IF(MAESTRO!B23="","",IFERROR('PROM (Ingles)'!AE23,""))</f>
        <v/>
      </c>
      <c r="G34" s="47" t="str">
        <f>IF(MAESTRO!B23="","",IFERROR('PROM (Ingles)'!BM23,""))</f>
        <v/>
      </c>
      <c r="H34" s="47" t="str">
        <f>IF(MAESTRO!B23="","",IFERROR('PROM (Ingles)'!CU23,""))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1"/>
        <v>0</v>
      </c>
    </row>
    <row r="35" spans="2:17">
      <c r="B35" s="9">
        <v>20</v>
      </c>
      <c r="C35" s="11" t="str">
        <f>IF(MAESTRO!B24="","",MAESTRO!B24)</f>
        <v/>
      </c>
      <c r="D35" s="15"/>
      <c r="E35" s="11" t="str">
        <f>IF(MAESTRO!D24="","",MAESTRO!E24)</f>
        <v/>
      </c>
      <c r="F35" s="47" t="str">
        <f>IF(MAESTRO!B24="","",IFERROR('PROM (Ingles)'!AE24,""))</f>
        <v/>
      </c>
      <c r="G35" s="47" t="str">
        <f>IF(MAESTRO!B24="","",IFERROR('PROM (Ingles)'!BM24,""))</f>
        <v/>
      </c>
      <c r="H35" s="47" t="str">
        <f>IF(MAESTRO!B24="","",IFERROR('PROM (Ingles)'!CU24,""))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1"/>
        <v>0</v>
      </c>
    </row>
    <row r="36" spans="2:17">
      <c r="B36" s="9">
        <v>21</v>
      </c>
      <c r="C36" s="11" t="str">
        <f>IF(MAESTRO!B25="","",MAESTRO!B25)</f>
        <v/>
      </c>
      <c r="D36" s="15"/>
      <c r="E36" s="11" t="str">
        <f>IF(MAESTRO!D25="","",MAESTRO!E25)</f>
        <v/>
      </c>
      <c r="F36" s="47" t="str">
        <f>IF(MAESTRO!B25="","",IFERROR('PROM (Ingles)'!AE25,""))</f>
        <v/>
      </c>
      <c r="G36" s="47" t="str">
        <f>IF(MAESTRO!B25="","",IFERROR('PROM (Ingles)'!BM25,""))</f>
        <v/>
      </c>
      <c r="H36" s="47" t="str">
        <f>IF(MAESTRO!B25="","",IFERROR('PROM (Ingles)'!CU25,""))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1"/>
        <v>0</v>
      </c>
    </row>
    <row r="37" spans="2:17">
      <c r="B37" s="9">
        <v>22</v>
      </c>
      <c r="C37" s="11" t="str">
        <f>IF(MAESTRO!B26="","",MAESTRO!B26)</f>
        <v/>
      </c>
      <c r="D37" s="15"/>
      <c r="E37" s="11" t="str">
        <f>IF(MAESTRO!D26="","",MAESTRO!E26)</f>
        <v/>
      </c>
      <c r="F37" s="47" t="str">
        <f>IF(MAESTRO!B26="","",IFERROR('PROM (Ingles)'!AE26,""))</f>
        <v/>
      </c>
      <c r="G37" s="47" t="str">
        <f>IF(MAESTRO!B26="","",IFERROR('PROM (Ingles)'!BM26,""))</f>
        <v/>
      </c>
      <c r="H37" s="47" t="str">
        <f>IF(MAESTRO!B26="","",IFERROR('PROM (Ingles)'!CU26,""))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1"/>
        <v>0</v>
      </c>
    </row>
    <row r="38" spans="2:17">
      <c r="B38" s="9">
        <v>23</v>
      </c>
      <c r="C38" s="11" t="str">
        <f>IF(MAESTRO!B27="","",MAESTRO!B27)</f>
        <v/>
      </c>
      <c r="D38" s="15"/>
      <c r="E38" s="11" t="str">
        <f>IF(MAESTRO!D27="","",MAESTRO!E27)</f>
        <v/>
      </c>
      <c r="F38" s="47" t="str">
        <f>IF(MAESTRO!B27="","",IFERROR('PROM (Ingles)'!AE27,""))</f>
        <v/>
      </c>
      <c r="G38" s="47" t="str">
        <f>IF(MAESTRO!B27="","",IFERROR('PROM (Ingles)'!BM27,""))</f>
        <v/>
      </c>
      <c r="H38" s="47" t="str">
        <f>IF(MAESTRO!B27="","",IFERROR('PROM (Ingles)'!CU27,""))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1"/>
        <v>0</v>
      </c>
    </row>
    <row r="39" spans="2:17">
      <c r="B39" s="9">
        <v>24</v>
      </c>
      <c r="C39" s="11" t="str">
        <f>IF(MAESTRO!B28="","",MAESTRO!B28)</f>
        <v/>
      </c>
      <c r="D39" s="15"/>
      <c r="E39" s="11" t="str">
        <f>IF(MAESTRO!D28="","",MAESTRO!E28)</f>
        <v/>
      </c>
      <c r="F39" s="47" t="str">
        <f>IF(MAESTRO!B28="","",IFERROR('PROM (Ingles)'!AE28,""))</f>
        <v/>
      </c>
      <c r="G39" s="47" t="str">
        <f>IF(MAESTRO!B28="","",IFERROR('PROM (Ingles)'!BM28,""))</f>
        <v/>
      </c>
      <c r="H39" s="47" t="str">
        <f>IF(MAESTRO!B28="","",IFERROR('PROM (Ingles)'!CU28,""))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1"/>
        <v>0</v>
      </c>
    </row>
    <row r="40" spans="2:17">
      <c r="B40" s="9">
        <v>25</v>
      </c>
      <c r="C40" s="11" t="str">
        <f>IF(MAESTRO!B29="","",MAESTRO!B29)</f>
        <v/>
      </c>
      <c r="D40" s="15"/>
      <c r="E40" s="11" t="str">
        <f>IF(MAESTRO!D29="","",MAESTRO!E29)</f>
        <v/>
      </c>
      <c r="F40" s="47" t="str">
        <f>IF(MAESTRO!B29="","",IFERROR('PROM (Ingles)'!AE29,""))</f>
        <v/>
      </c>
      <c r="G40" s="47" t="str">
        <f>IF(MAESTRO!B29="","",IFERROR('PROM (Ingles)'!BM29,""))</f>
        <v/>
      </c>
      <c r="H40" s="47" t="str">
        <f>IF(MAESTRO!B29="","",IFERROR('PROM (Ingles)'!CU29,""))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1"/>
        <v>0</v>
      </c>
    </row>
    <row r="41" spans="2:17">
      <c r="B41" s="9">
        <v>26</v>
      </c>
      <c r="C41" s="11" t="str">
        <f>IF(MAESTRO!B30="","",MAESTRO!B30)</f>
        <v/>
      </c>
      <c r="D41" s="15"/>
      <c r="E41" s="11" t="str">
        <f>IF(MAESTRO!D30="","",MAESTRO!E30)</f>
        <v/>
      </c>
      <c r="F41" s="47" t="str">
        <f>IF(MAESTRO!B30="","",IFERROR('PROM (Ingles)'!AE30,""))</f>
        <v/>
      </c>
      <c r="G41" s="47" t="str">
        <f>IF(MAESTRO!B30="","",IFERROR('PROM (Ingles)'!BM30,""))</f>
        <v/>
      </c>
      <c r="H41" s="47" t="str">
        <f>IF(MAESTRO!B30="","",IFERROR('PROM (Ingles)'!CU30,""))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1"/>
        <v>0</v>
      </c>
    </row>
    <row r="42" spans="2:17">
      <c r="B42" s="9">
        <v>27</v>
      </c>
      <c r="C42" s="11" t="str">
        <f>IF(MAESTRO!B31="","",MAESTRO!B31)</f>
        <v/>
      </c>
      <c r="D42" s="15"/>
      <c r="E42" s="11" t="str">
        <f>IF(MAESTRO!D31="","",MAESTRO!E31)</f>
        <v/>
      </c>
      <c r="F42" s="47" t="str">
        <f>IF(MAESTRO!B31="","",IFERROR('PROM (Ingles)'!AE31,""))</f>
        <v/>
      </c>
      <c r="G42" s="47" t="str">
        <f>IF(MAESTRO!B31="","",IFERROR('PROM (Ingles)'!BM31,""))</f>
        <v/>
      </c>
      <c r="H42" s="47" t="str">
        <f>IF(MAESTRO!B31="","",IFERROR('PROM (Ingles)'!CU31,""))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1"/>
        <v>0</v>
      </c>
    </row>
    <row r="43" spans="2:17">
      <c r="B43" s="9">
        <v>28</v>
      </c>
      <c r="C43" s="11" t="str">
        <f>IF(MAESTRO!B32="","",MAESTRO!B32)</f>
        <v/>
      </c>
      <c r="D43" s="15"/>
      <c r="E43" s="11" t="str">
        <f>IF(MAESTRO!D32="","",MAESTRO!E32)</f>
        <v/>
      </c>
      <c r="F43" s="47" t="str">
        <f>IF(MAESTRO!B32="","",IFERROR('PROM (Ingles)'!AE32,""))</f>
        <v/>
      </c>
      <c r="G43" s="47" t="str">
        <f>IF(MAESTRO!B32="","",IFERROR('PROM (Ingles)'!BM32,""))</f>
        <v/>
      </c>
      <c r="H43" s="47" t="str">
        <f>IF(MAESTRO!B32="","",IFERROR('PROM (Ingles)'!CU32,""))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1"/>
        <v>0</v>
      </c>
    </row>
    <row r="44" spans="2:17">
      <c r="B44" s="9">
        <v>29</v>
      </c>
      <c r="C44" s="11" t="str">
        <f>IF(MAESTRO!B33="","",MAESTRO!B33)</f>
        <v/>
      </c>
      <c r="D44" s="15"/>
      <c r="E44" s="11" t="str">
        <f>IF(MAESTRO!D33="","",MAESTRO!E33)</f>
        <v/>
      </c>
      <c r="F44" s="47" t="str">
        <f>IF(MAESTRO!B33="","",IFERROR('PROM (Ingles)'!AE33,""))</f>
        <v/>
      </c>
      <c r="G44" s="47" t="str">
        <f>IF(MAESTRO!B33="","",IFERROR('PROM (Ingles)'!BM33,""))</f>
        <v/>
      </c>
      <c r="H44" s="47" t="str">
        <f>IF(MAESTRO!B33="","",IFERROR('PROM (Ingles)'!CU33,""))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1"/>
        <v>0</v>
      </c>
    </row>
    <row r="45" spans="2:17">
      <c r="B45" s="9">
        <v>30</v>
      </c>
      <c r="C45" s="11" t="str">
        <f>IF(MAESTRO!B34="","",MAESTRO!B34)</f>
        <v/>
      </c>
      <c r="D45" s="15"/>
      <c r="E45" s="11" t="str">
        <f>IF(MAESTRO!D34="","",MAESTRO!E34)</f>
        <v/>
      </c>
      <c r="F45" s="47" t="str">
        <f>IF(MAESTRO!B34="","",IFERROR('PROM (Ingles)'!AE34,""))</f>
        <v/>
      </c>
      <c r="G45" s="47" t="str">
        <f>IF(MAESTRO!B34="","",IFERROR('PROM (Ingles)'!BM34,""))</f>
        <v/>
      </c>
      <c r="H45" s="47" t="str">
        <f>IF(MAESTRO!B34="","",IFERROR('PROM (Ingles)'!CU34,""))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1"/>
        <v>0</v>
      </c>
    </row>
    <row r="46" spans="2:17">
      <c r="B46" s="9">
        <v>31</v>
      </c>
      <c r="C46" s="11" t="str">
        <f>IF(MAESTRO!B35="","",MAESTRO!B35)</f>
        <v/>
      </c>
      <c r="D46" s="15"/>
      <c r="E46" s="11" t="str">
        <f>IF(MAESTRO!D35="","",MAESTRO!E35)</f>
        <v/>
      </c>
      <c r="F46" s="47" t="str">
        <f>IF(MAESTRO!B35="","",IFERROR('PROM (Ingles)'!AE35,""))</f>
        <v/>
      </c>
      <c r="G46" s="47" t="str">
        <f>IF(MAESTRO!B35="","",IFERROR('PROM (Ingles)'!BM35,""))</f>
        <v/>
      </c>
      <c r="H46" s="47" t="str">
        <f>IF(MAESTRO!B35="","",IFERROR('PROM (Ingles)'!CU35,""))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1"/>
        <v>0</v>
      </c>
    </row>
    <row r="47" spans="2:17">
      <c r="B47" s="9">
        <v>32</v>
      </c>
      <c r="C47" s="11" t="str">
        <f>IF(MAESTRO!B36="","",MAESTRO!B36)</f>
        <v/>
      </c>
      <c r="D47" s="15"/>
      <c r="E47" s="11" t="str">
        <f>IF(MAESTRO!D36="","",MAESTRO!E36)</f>
        <v/>
      </c>
      <c r="F47" s="47" t="str">
        <f>IF(MAESTRO!B36="","",IFERROR('PROM (Ingles)'!AE36,""))</f>
        <v/>
      </c>
      <c r="G47" s="47" t="str">
        <f>IF(MAESTRO!B36="","",IFERROR('PROM (Ingles)'!BM36,""))</f>
        <v/>
      </c>
      <c r="H47" s="47" t="str">
        <f>IF(MAESTRO!B36="","",IFERROR('PROM (Ingles)'!CU36,""))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1"/>
        <v>0</v>
      </c>
    </row>
    <row r="48" spans="2:17">
      <c r="B48" s="9">
        <v>33</v>
      </c>
      <c r="C48" s="11" t="str">
        <f>IF(MAESTRO!B37="","",MAESTRO!B37)</f>
        <v/>
      </c>
      <c r="D48" s="15"/>
      <c r="E48" s="11" t="str">
        <f>IF(MAESTRO!D37="","",MAESTRO!E37)</f>
        <v/>
      </c>
      <c r="F48" s="47" t="str">
        <f>IF(MAESTRO!B37="","",IFERROR('PROM (Ingles)'!AE37,""))</f>
        <v/>
      </c>
      <c r="G48" s="47" t="str">
        <f>IF(MAESTRO!B37="","",IFERROR('PROM (Ingles)'!BM37,""))</f>
        <v/>
      </c>
      <c r="H48" s="47" t="str">
        <f>IF(MAESTRO!B37="","",IFERROR('PROM (Ingles)'!CU37,""))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1"/>
        <v>0</v>
      </c>
    </row>
    <row r="49" spans="2:17">
      <c r="B49" s="9">
        <v>34</v>
      </c>
      <c r="C49" s="11" t="str">
        <f>IF(MAESTRO!B38="","",MAESTRO!B38)</f>
        <v/>
      </c>
      <c r="D49" s="15"/>
      <c r="E49" s="11" t="str">
        <f>IF(MAESTRO!D38="","",MAESTRO!E38)</f>
        <v/>
      </c>
      <c r="F49" s="47" t="str">
        <f>IF(MAESTRO!B38="","",IFERROR('PROM (Ingles)'!AE38,""))</f>
        <v/>
      </c>
      <c r="G49" s="47" t="str">
        <f>IF(MAESTRO!B38="","",IFERROR('PROM (Ingles)'!BM38,""))</f>
        <v/>
      </c>
      <c r="H49" s="47" t="str">
        <f>IF(MAESTRO!B38="","",IFERROR('PROM (Ingles)'!CU38,""))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1"/>
        <v>0</v>
      </c>
    </row>
    <row r="50" spans="2:17">
      <c r="B50" s="9">
        <v>35</v>
      </c>
      <c r="C50" s="11" t="str">
        <f>IF(MAESTRO!B39="","",MAESTRO!B39)</f>
        <v/>
      </c>
      <c r="D50" s="15"/>
      <c r="E50" s="11" t="str">
        <f>IF(MAESTRO!D39="","",MAESTRO!E39)</f>
        <v/>
      </c>
      <c r="F50" s="47" t="str">
        <f>IF(MAESTRO!B39="","",IFERROR('PROM (Ingles)'!AE39,""))</f>
        <v/>
      </c>
      <c r="G50" s="47" t="str">
        <f>IF(MAESTRO!B39="","",IFERROR('PROM (Ingles)'!BM39,""))</f>
        <v/>
      </c>
      <c r="H50" s="47" t="str">
        <f>IF(MAESTRO!B39="","",IFERROR('PROM (Ingles)'!CU39,""))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1"/>
        <v>0</v>
      </c>
    </row>
    <row r="51" spans="2:17">
      <c r="B51" s="9">
        <v>36</v>
      </c>
      <c r="C51" s="11" t="str">
        <f>IF(MAESTRO!B40="","",MAESTRO!B40)</f>
        <v/>
      </c>
      <c r="D51" s="15"/>
      <c r="E51" s="11" t="str">
        <f>IF(MAESTRO!D40="","",MAESTRO!E40)</f>
        <v/>
      </c>
      <c r="F51" s="47" t="str">
        <f>IF(MAESTRO!B40="","",IFERROR('PROM (Ingles)'!AE40,""))</f>
        <v/>
      </c>
      <c r="G51" s="47" t="str">
        <f>IF(MAESTRO!B40="","",IFERROR('PROM (Ingles)'!BM40,""))</f>
        <v/>
      </c>
      <c r="H51" s="47" t="str">
        <f>IF(MAESTRO!B40="","",IFERROR('PROM (Ingles)'!CU40,""))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1"/>
        <v>0</v>
      </c>
    </row>
    <row r="52" spans="2:17">
      <c r="B52" s="9">
        <v>37</v>
      </c>
      <c r="C52" s="11" t="str">
        <f>IF(MAESTRO!B41="","",MAESTRO!B41)</f>
        <v/>
      </c>
      <c r="D52" s="15"/>
      <c r="E52" s="11" t="str">
        <f>IF(MAESTRO!D41="","",MAESTRO!E41)</f>
        <v/>
      </c>
      <c r="F52" s="47" t="str">
        <f>IF(MAESTRO!B41="","",IFERROR('PROM (Ingles)'!AE41,""))</f>
        <v/>
      </c>
      <c r="G52" s="47" t="str">
        <f>IF(MAESTRO!B41="","",IFERROR('PROM (Ingles)'!BM41,""))</f>
        <v/>
      </c>
      <c r="H52" s="47" t="str">
        <f>IF(MAESTRO!B41="","",IFERROR('PROM (Ingles)'!CU41,""))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1"/>
        <v>0</v>
      </c>
    </row>
    <row r="53" spans="2:17">
      <c r="B53" s="9">
        <v>38</v>
      </c>
      <c r="C53" s="11" t="str">
        <f>IF(MAESTRO!B42="","",MAESTRO!B42)</f>
        <v/>
      </c>
      <c r="D53" s="15"/>
      <c r="E53" s="11" t="str">
        <f>IF(MAESTRO!D42="","",MAESTRO!E42)</f>
        <v/>
      </c>
      <c r="F53" s="47" t="str">
        <f>IF(MAESTRO!B42="","",IFERROR('PROM (Ingles)'!AE42,""))</f>
        <v/>
      </c>
      <c r="G53" s="47" t="str">
        <f>IF(MAESTRO!B42="","",IFERROR('PROM (Ingles)'!BM42,""))</f>
        <v/>
      </c>
      <c r="H53" s="47" t="str">
        <f>IF(MAESTRO!B42="","",IFERROR('PROM (Ingles)'!CU42,""))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2">SUM(J53,L53,N53)</f>
        <v>0</v>
      </c>
      <c r="Q53" s="54">
        <f t="shared" ref="Q53:Q55" si="3">SUM(K53,M53,O53)</f>
        <v>0</v>
      </c>
    </row>
    <row r="54" spans="2:17">
      <c r="B54" s="9">
        <v>39</v>
      </c>
      <c r="C54" s="11" t="str">
        <f>IF(MAESTRO!B43="","",MAESTRO!B43)</f>
        <v/>
      </c>
      <c r="D54" s="15"/>
      <c r="E54" s="11" t="str">
        <f>IF(MAESTRO!D43="","",MAESTRO!E43)</f>
        <v/>
      </c>
      <c r="F54" s="47" t="str">
        <f>IF(MAESTRO!B43="","",IFERROR('PROM (Ingles)'!AE43,""))</f>
        <v/>
      </c>
      <c r="G54" s="47" t="str">
        <f>IF(MAESTRO!B43="","",IFERROR('PROM (Ingles)'!BM43,""))</f>
        <v/>
      </c>
      <c r="H54" s="47" t="str">
        <f>IF(MAESTRO!B43="","",IFERROR('PROM (Ingles)'!CU43,""))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2"/>
        <v>0</v>
      </c>
      <c r="Q54" s="54">
        <f t="shared" si="3"/>
        <v>0</v>
      </c>
    </row>
    <row r="55" spans="2:17">
      <c r="B55" s="9">
        <v>40</v>
      </c>
      <c r="C55" s="11" t="str">
        <f>IF(MAESTRO!B44="","",MAESTRO!B44)</f>
        <v/>
      </c>
      <c r="D55" s="15"/>
      <c r="E55" s="11" t="str">
        <f>IF(MAESTRO!D44="","",MAESTRO!E44)</f>
        <v/>
      </c>
      <c r="F55" s="47" t="str">
        <f>IF(MAESTRO!B44="","",IFERROR('PROM (Ingles)'!AE44,""))</f>
        <v/>
      </c>
      <c r="G55" s="47" t="str">
        <f>IF(MAESTRO!B44="","",IFERROR('PROM (Ingles)'!BM44,""))</f>
        <v/>
      </c>
      <c r="H55" s="47" t="str">
        <f>IF(MAESTRO!B44="","",IFERROR('PROM (Ingles)'!CU44,""))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2"/>
        <v>0</v>
      </c>
      <c r="Q55" s="54">
        <f t="shared" si="3"/>
        <v>0</v>
      </c>
    </row>
    <row r="56" spans="2:17">
      <c r="B56" s="12"/>
      <c r="C56" s="12"/>
      <c r="D56" s="12"/>
      <c r="E56" s="12"/>
      <c r="F56" s="52"/>
      <c r="G56" s="52"/>
      <c r="H56" s="52"/>
      <c r="I56" s="45"/>
      <c r="J56" s="52"/>
      <c r="K56" s="52"/>
      <c r="L56" s="52"/>
      <c r="M56" s="52"/>
      <c r="N56" s="52"/>
      <c r="O56" s="52"/>
      <c r="P56" s="52"/>
      <c r="Q56" s="52"/>
    </row>
  </sheetData>
  <mergeCells count="26">
    <mergeCell ref="B3:Q3"/>
    <mergeCell ref="G14:G15"/>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L14:M14"/>
    <mergeCell ref="B7:Q7"/>
    <mergeCell ref="N14:O14"/>
  </mergeCells>
  <conditionalFormatting sqref="F16:I52">
    <cfRule type="cellIs" dxfId="24" priority="1" operator="lessThan">
      <formula>3</formula>
    </cfRule>
  </conditionalFormatting>
  <pageMargins left="0.25" right="4.9479166666666657E-2" top="0.75" bottom="0.75" header="0.3" footer="0.3"/>
  <pageSetup orientation="portrait" horizontalDpi="4294967293"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6A2D0-D054-41B3-92D3-55693E27D5BB}">
  <sheetPr>
    <tabColor rgb="FF4472C4"/>
  </sheetPr>
  <dimension ref="A1:EE48"/>
  <sheetViews>
    <sheetView view="pageLayout" topLeftCell="A22" zoomScale="80" zoomScaleNormal="100" zoomScalePageLayoutView="80" workbookViewId="0">
      <selection activeCell="AC12" sqref="AC12"/>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20"/>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20"/>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20"/>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20"/>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20"/>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20"/>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20"/>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20"/>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5"/>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20"/>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20"/>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20"/>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20"/>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20"/>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20"/>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20"/>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20"/>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20"/>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20"/>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20"/>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20"/>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20"/>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20"/>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20"/>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20"/>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20"/>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20"/>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20"/>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20"/>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20"/>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20"/>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20"/>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20"/>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20"/>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23" priority="2" operator="lessThan">
      <formula>3</formula>
    </cfRule>
  </conditionalFormatting>
  <conditionalFormatting sqref="BM3:BM4">
    <cfRule type="cellIs" dxfId="22"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8EA8E-62AB-4455-9F49-90853CEAB707}">
  <sheetPr>
    <tabColor rgb="FF70A0D4"/>
  </sheetPr>
  <dimension ref="B3:Q56"/>
  <sheetViews>
    <sheetView view="pageLayout" topLeftCell="A39" zoomScale="70" zoomScaleNormal="100" zoomScalePageLayoutView="70" workbookViewId="0">
      <selection activeCell="P52" sqref="P52:Q55"/>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143</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(Español)'!AE5,""))</f>
        <v/>
      </c>
      <c r="G16" s="47" t="str">
        <f>IF(MAESTRO!B5="","",IFERROR('PROM (Español)'!BM5,""))</f>
        <v/>
      </c>
      <c r="H16" s="47" t="str">
        <f>IF(MAESTRO!B5="","",IFERROR('PROM (Español)'!CU5,""))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(Español)'!AE6,""))</f>
        <v/>
      </c>
      <c r="G17" s="47" t="str">
        <f>IF(MAESTRO!B6="","",IFERROR('PROM (Español)'!BM6,""))</f>
        <v/>
      </c>
      <c r="H17" s="47" t="str">
        <f>IF(MAESTRO!B6="","",IFERROR('PROM (Español)'!CU6,""))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(Español)'!AE7,""))</f>
        <v/>
      </c>
      <c r="G18" s="47" t="str">
        <f>IF(MAESTRO!B7="","",IFERROR('PROM (Español)'!BM7,""))</f>
        <v/>
      </c>
      <c r="H18" s="47" t="str">
        <f>IF(MAESTRO!B7="","",IFERROR('PROM (Español)'!CU7,""))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(Español)'!AE8,""))</f>
        <v/>
      </c>
      <c r="G19" s="47" t="str">
        <f>IF(MAESTRO!B8="","",IFERROR('PROM (Español)'!BM8,""))</f>
        <v/>
      </c>
      <c r="H19" s="47" t="str">
        <f>IF(MAESTRO!B8="","",IFERROR('PROM (Español)'!CU8,""))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(Español)'!AE9,""))</f>
        <v/>
      </c>
      <c r="G20" s="47" t="str">
        <f>IF(MAESTRO!B9="","",IFERROR('PROM (Español)'!BM9,""))</f>
        <v/>
      </c>
      <c r="H20" s="47" t="str">
        <f>IF(MAESTRO!B9="","",IFERROR('PROM (Español)'!CU9,""))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(Español)'!AE10,""))</f>
        <v/>
      </c>
      <c r="G21" s="47" t="str">
        <f>IF(MAESTRO!B10="","",IFERROR('PROM (Español)'!BM10,""))</f>
        <v/>
      </c>
      <c r="H21" s="47" t="str">
        <f>IF(MAESTRO!B10="","",IFERROR('PROM (Español)'!CU10,""))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(Español)'!AE11,""))</f>
        <v/>
      </c>
      <c r="G22" s="47" t="str">
        <f>IF(MAESTRO!B11="","",IFERROR('PROM (Español)'!BM11,""))</f>
        <v/>
      </c>
      <c r="H22" s="47" t="str">
        <f>IF(MAESTRO!B11="","",IFERROR('PROM (Español)'!CU11,""))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(Español)'!AE12,""))</f>
        <v/>
      </c>
      <c r="G23" s="47" t="str">
        <f>IF(MAESTRO!B12="","",IFERROR('PROM (Español)'!BM12,""))</f>
        <v/>
      </c>
      <c r="H23" s="47" t="str">
        <f>IF(MAESTRO!B12="","",IFERROR('PROM (Español)'!CU12,""))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(Español)'!AE13,""))</f>
        <v/>
      </c>
      <c r="G24" s="47" t="str">
        <f>IF(MAESTRO!B13="","",IFERROR('PROM (Español)'!BM13,""))</f>
        <v/>
      </c>
      <c r="H24" s="47" t="str">
        <f>IF(MAESTRO!B13="","",IFERROR('PROM (Español)'!CU13,""))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(Español)'!AE14,""))</f>
        <v/>
      </c>
      <c r="G25" s="47" t="str">
        <f>IF(MAESTRO!B14="","",IFERROR('PROM (Español)'!BM14,""))</f>
        <v/>
      </c>
      <c r="H25" s="47" t="str">
        <f>IF(MAESTRO!B14="","",IFERROR('PROM (Español)'!CU14,""))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(Español)'!AE15,""))</f>
        <v/>
      </c>
      <c r="G26" s="47" t="str">
        <f>IF(MAESTRO!B15="","",IFERROR('PROM (Español)'!BM15,""))</f>
        <v/>
      </c>
      <c r="H26" s="47" t="str">
        <f>IF(MAESTRO!B15="","",IFERROR('PROM (Español)'!CU15,""))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(Español)'!AE16,""))</f>
        <v/>
      </c>
      <c r="G27" s="47" t="str">
        <f>IF(MAESTRO!B16="","",IFERROR('PROM (Español)'!BM16,""))</f>
        <v/>
      </c>
      <c r="H27" s="47" t="str">
        <f>IF(MAESTRO!B16="","",IFERROR('PROM (Español)'!CU16,""))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(Español)'!AE17,""))</f>
        <v/>
      </c>
      <c r="G28" s="47" t="str">
        <f>IF(MAESTRO!B17="","",IFERROR('PROM (Español)'!BM17,""))</f>
        <v/>
      </c>
      <c r="H28" s="47" t="str">
        <f>IF(MAESTRO!B17="","",IFERROR('PROM (Español)'!CU17,""))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(Español)'!AE18,""))</f>
        <v/>
      </c>
      <c r="G29" s="47" t="str">
        <f>IF(MAESTRO!B18="","",IFERROR('PROM (Español)'!BM18,""))</f>
        <v/>
      </c>
      <c r="H29" s="47" t="str">
        <f>IF(MAESTRO!B18="","",IFERROR('PROM (Español)'!CU18,""))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(Español)'!AE19,""))</f>
        <v/>
      </c>
      <c r="G30" s="47" t="str">
        <f>IF(MAESTRO!B19="","",IFERROR('PROM (Español)'!BM19,""))</f>
        <v/>
      </c>
      <c r="H30" s="47" t="str">
        <f>IF(MAESTRO!B19="","",IFERROR('PROM (Español)'!CU19,""))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(Español)'!AE20,""))</f>
        <v/>
      </c>
      <c r="G31" s="47" t="str">
        <f>IF(MAESTRO!B20="","",IFERROR('PROM (Español)'!BM20,""))</f>
        <v/>
      </c>
      <c r="H31" s="47" t="str">
        <f>IF(MAESTRO!B20="","",IFERROR('PROM (Español)'!CU20,""))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(Español)'!AE21,""))</f>
        <v/>
      </c>
      <c r="G32" s="47" t="str">
        <f>IF(MAESTRO!B21="","",IFERROR('PROM (Español)'!BM21,""))</f>
        <v/>
      </c>
      <c r="H32" s="47" t="str">
        <f>IF(MAESTRO!B21="","",IFERROR('PROM (Español)'!CU21,""))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(Español)'!AE22,""))</f>
        <v/>
      </c>
      <c r="G33" s="47" t="str">
        <f>IF(MAESTRO!B22="","",IFERROR('PROM (Español)'!BM22,""))</f>
        <v/>
      </c>
      <c r="H33" s="47" t="str">
        <f>IF(MAESTRO!B22="","",IFERROR('PROM (Español)'!CU22,""))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(Español)'!AE23,""))</f>
        <v/>
      </c>
      <c r="G34" s="47" t="str">
        <f>IF(MAESTRO!B23="","",IFERROR('PROM (Español)'!BM23,""))</f>
        <v/>
      </c>
      <c r="H34" s="47" t="str">
        <f>IF(MAESTRO!B23="","",IFERROR('PROM (Español)'!CU23,""))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(Español)'!AE24,""))</f>
        <v/>
      </c>
      <c r="G35" s="47" t="str">
        <f>IF(MAESTRO!B24="","",IFERROR('PROM (Español)'!BM24,""))</f>
        <v/>
      </c>
      <c r="H35" s="47" t="str">
        <f>IF(MAESTRO!B24="","",IFERROR('PROM (Español)'!CU24,""))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(Español)'!AE25,""))</f>
        <v/>
      </c>
      <c r="G36" s="47" t="str">
        <f>IF(MAESTRO!B25="","",IFERROR('PROM (Español)'!BM25,""))</f>
        <v/>
      </c>
      <c r="H36" s="47" t="str">
        <f>IF(MAESTRO!B25="","",IFERROR('PROM (Español)'!CU25,""))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(Español)'!AE26,""))</f>
        <v/>
      </c>
      <c r="G37" s="47" t="str">
        <f>IF(MAESTRO!B26="","",IFERROR('PROM (Español)'!BM26,""))</f>
        <v/>
      </c>
      <c r="H37" s="47" t="str">
        <f>IF(MAESTRO!B26="","",IFERROR('PROM (Español)'!CU26,""))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(Español)'!AE27,""))</f>
        <v/>
      </c>
      <c r="G38" s="47" t="str">
        <f>IF(MAESTRO!B27="","",IFERROR('PROM (Español)'!BM27,""))</f>
        <v/>
      </c>
      <c r="H38" s="47" t="str">
        <f>IF(MAESTRO!B27="","",IFERROR('PROM (Español)'!CU27,""))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(Español)'!AE28,""))</f>
        <v/>
      </c>
      <c r="G39" s="47" t="str">
        <f>IF(MAESTRO!B28="","",IFERROR('PROM (Español)'!BM28,""))</f>
        <v/>
      </c>
      <c r="H39" s="47" t="str">
        <f>IF(MAESTRO!B28="","",IFERROR('PROM (Español)'!CU28,""))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(Español)'!AE29,""))</f>
        <v/>
      </c>
      <c r="G40" s="47" t="str">
        <f>IF(MAESTRO!B29="","",IFERROR('PROM (Español)'!BM29,""))</f>
        <v/>
      </c>
      <c r="H40" s="47" t="str">
        <f>IF(MAESTRO!B29="","",IFERROR('PROM (Español)'!CU29,""))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(Español)'!AE30,""))</f>
        <v/>
      </c>
      <c r="G41" s="47" t="str">
        <f>IF(MAESTRO!B30="","",IFERROR('PROM (Español)'!BM30,""))</f>
        <v/>
      </c>
      <c r="H41" s="47" t="str">
        <f>IF(MAESTRO!B30="","",IFERROR('PROM (Español)'!CU30,""))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(Español)'!AE31,""))</f>
        <v/>
      </c>
      <c r="G42" s="47" t="str">
        <f>IF(MAESTRO!B31="","",IFERROR('PROM (Español)'!BM31,""))</f>
        <v/>
      </c>
      <c r="H42" s="47" t="str">
        <f>IF(MAESTRO!B31="","",IFERROR('PROM (Español)'!CU31,""))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(Español)'!AE32,""))</f>
        <v/>
      </c>
      <c r="G43" s="47" t="str">
        <f>IF(MAESTRO!B32="","",IFERROR('PROM (Español)'!BM32,""))</f>
        <v/>
      </c>
      <c r="H43" s="47" t="str">
        <f>IF(MAESTRO!B32="","",IFERROR('PROM (Español)'!CU32,""))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(Español)'!AE33,""))</f>
        <v/>
      </c>
      <c r="G44" s="47" t="str">
        <f>IF(MAESTRO!B33="","",IFERROR('PROM (Español)'!BM33,""))</f>
        <v/>
      </c>
      <c r="H44" s="47" t="str">
        <f>IF(MAESTRO!B33="","",IFERROR('PROM (Español)'!CU33,""))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(Español)'!AE34,""))</f>
        <v/>
      </c>
      <c r="G45" s="47" t="str">
        <f>IF(MAESTRO!B34="","",IFERROR('PROM (Español)'!BM34,""))</f>
        <v/>
      </c>
      <c r="H45" s="47" t="str">
        <f>IF(MAESTRO!B34="","",IFERROR('PROM (Español)'!CU34,""))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(Español)'!AE35,""))</f>
        <v/>
      </c>
      <c r="G46" s="47" t="str">
        <f>IF(MAESTRO!B35="","",IFERROR('PROM (Español)'!BM35,""))</f>
        <v/>
      </c>
      <c r="H46" s="47" t="str">
        <f>IF(MAESTRO!B35="","",IFERROR('PROM (Español)'!CU35,""))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(Español)'!AE36,""))</f>
        <v/>
      </c>
      <c r="G47" s="47" t="str">
        <f>IF(MAESTRO!B36="","",IFERROR('PROM (Español)'!BM36,""))</f>
        <v/>
      </c>
      <c r="H47" s="47" t="str">
        <f>IF(MAESTRO!B36="","",IFERROR('PROM (Español)'!CU36,""))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(Español)'!AE37,""))</f>
        <v/>
      </c>
      <c r="G48" s="47" t="str">
        <f>IF(MAESTRO!B37="","",IFERROR('PROM (Español)'!BM37,""))</f>
        <v/>
      </c>
      <c r="H48" s="47" t="str">
        <f>IF(MAESTRO!B37="","",IFERROR('PROM (Español)'!CU37,""))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(Español)'!AE38,""))</f>
        <v/>
      </c>
      <c r="G49" s="47" t="str">
        <f>IF(MAESTRO!B38="","",IFERROR('PROM (Español)'!BM38,""))</f>
        <v/>
      </c>
      <c r="H49" s="47" t="str">
        <f>IF(MAESTRO!B38="","",IFERROR('PROM (Español)'!CU38,""))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(Español)'!AE39,""))</f>
        <v/>
      </c>
      <c r="G50" s="47" t="str">
        <f>IF(MAESTRO!B39="","",IFERROR('PROM (Español)'!BM39,""))</f>
        <v/>
      </c>
      <c r="H50" s="47" t="str">
        <f>IF(MAESTRO!B39="","",IFERROR('PROM (Español)'!CU39,""))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(Español)'!AE40,""))</f>
        <v/>
      </c>
      <c r="G51" s="47" t="str">
        <f>IF(MAESTRO!B40="","",IFERROR('PROM (Español)'!BM40,""))</f>
        <v/>
      </c>
      <c r="H51" s="47" t="str">
        <f>IF(MAESTRO!B40="","",IFERROR('PROM (Español)'!CU40,""))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(Español)'!AE41,""))</f>
        <v/>
      </c>
      <c r="G52" s="47" t="str">
        <f>IF(MAESTRO!B41="","",IFERROR('PROM (Español)'!BM41,""))</f>
        <v/>
      </c>
      <c r="H52" s="47" t="str">
        <f>IF(MAESTRO!B41="","",IFERROR('PROM (Español)'!CU41,""))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(Español)'!AE42,""))</f>
        <v/>
      </c>
      <c r="G53" s="47" t="str">
        <f>IF(MAESTRO!B42="","",IFERROR('PROM (Español)'!BM42,""))</f>
        <v/>
      </c>
      <c r="H53" s="47" t="str">
        <f>IF(MAESTRO!B42="","",IFERROR('PROM (Español)'!CU42,""))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(Español)'!AE43,""))</f>
        <v/>
      </c>
      <c r="G54" s="47" t="str">
        <f>IF(MAESTRO!B43="","",IFERROR('PROM (Español)'!BM43,""))</f>
        <v/>
      </c>
      <c r="H54" s="47" t="str">
        <f>IF(MAESTRO!B43="","",IFERROR('PROM (Español)'!CU43,""))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(Español)'!AE44,""))</f>
        <v/>
      </c>
      <c r="G55" s="47" t="str">
        <f>IF(MAESTRO!B44="","",IFERROR('PROM (Español)'!BM44,""))</f>
        <v/>
      </c>
      <c r="H55" s="47" t="str">
        <f>IF(MAESTRO!B44="","",IFERROR('PROM (Español)'!CU44,""))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21" priority="1" operator="lessThan">
      <formula>3</formula>
    </cfRule>
  </conditionalFormatting>
  <pageMargins left="0.25" right="4.9479166666666657E-2" top="0.75" bottom="0.75" header="0.3" footer="0.3"/>
  <pageSetup orientation="portrait" horizontalDpi="4294967293"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25405-61CF-4A2F-993C-33EAB584F2C5}">
  <sheetPr>
    <tabColor rgb="FF4472C4"/>
  </sheetPr>
  <dimension ref="A1:EE48"/>
  <sheetViews>
    <sheetView view="pageLayout" topLeftCell="A10" zoomScale="80" zoomScaleNormal="100" zoomScalePageLayoutView="80" workbookViewId="0">
      <selection activeCell="AD38" sqref="AD38"/>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20" priority="2" operator="lessThan">
      <formula>3</formula>
    </cfRule>
  </conditionalFormatting>
  <conditionalFormatting sqref="BM3:BM4">
    <cfRule type="cellIs" dxfId="19"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3F845-B3A6-453A-86C8-005952598F75}">
  <sheetPr>
    <tabColor rgb="FF70A0D4"/>
  </sheetPr>
  <dimension ref="B3:Q56"/>
  <sheetViews>
    <sheetView view="pageLayout" topLeftCell="A34" zoomScale="70" zoomScaleNormal="100" zoomScalePageLayoutView="70" workbookViewId="0">
      <selection activeCell="N53" sqref="N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144</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(Matematica)'!AE5,""))</f>
        <v/>
      </c>
      <c r="G16" s="47" t="str">
        <f>IF(MAESTRO!B5="","",IFERROR('PROM (Matematica)'!BM5,""))</f>
        <v/>
      </c>
      <c r="H16" s="47" t="str">
        <f>IF(MAESTRO!B5="","",IFERROR('PROM (Matematica)'!CU5,""))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(Matematica)'!AE6,""))</f>
        <v/>
      </c>
      <c r="G17" s="47" t="str">
        <f>IF(MAESTRO!B6="","",IFERROR('PROM (Matematica)'!BM6,""))</f>
        <v/>
      </c>
      <c r="H17" s="47" t="str">
        <f>IF(MAESTRO!B6="","",IFERROR('PROM (Matematica)'!CU6,""))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(Matematica)'!AE7,""))</f>
        <v/>
      </c>
      <c r="G18" s="47" t="str">
        <f>IF(MAESTRO!B7="","",IFERROR('PROM (Matematica)'!BM7,""))</f>
        <v/>
      </c>
      <c r="H18" s="47" t="str">
        <f>IF(MAESTRO!B7="","",IFERROR('PROM (Matematica)'!CU7,""))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(Matematica)'!AE8,""))</f>
        <v/>
      </c>
      <c r="G19" s="47" t="str">
        <f>IF(MAESTRO!B8="","",IFERROR('PROM (Matematica)'!BM8,""))</f>
        <v/>
      </c>
      <c r="H19" s="47" t="str">
        <f>IF(MAESTRO!B8="","",IFERROR('PROM (Matematica)'!CU8,""))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(Matematica)'!AE9,""))</f>
        <v/>
      </c>
      <c r="G20" s="47" t="str">
        <f>IF(MAESTRO!B9="","",IFERROR('PROM (Matematica)'!BM9,""))</f>
        <v/>
      </c>
      <c r="H20" s="47" t="str">
        <f>IF(MAESTRO!B9="","",IFERROR('PROM (Matematica)'!CU9,""))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(Matematica)'!AE10,""))</f>
        <v/>
      </c>
      <c r="G21" s="47" t="str">
        <f>IF(MAESTRO!B10="","",IFERROR('PROM (Matematica)'!BM10,""))</f>
        <v/>
      </c>
      <c r="H21" s="47" t="str">
        <f>IF(MAESTRO!B10="","",IFERROR('PROM (Matematica)'!CU10,""))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(Matematica)'!AE11,""))</f>
        <v/>
      </c>
      <c r="G22" s="47" t="str">
        <f>IF(MAESTRO!B11="","",IFERROR('PROM (Matematica)'!BM11,""))</f>
        <v/>
      </c>
      <c r="H22" s="47" t="str">
        <f>IF(MAESTRO!B11="","",IFERROR('PROM (Matematica)'!CU11,""))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(Matematica)'!AE12,""))</f>
        <v/>
      </c>
      <c r="G23" s="47" t="str">
        <f>IF(MAESTRO!B12="","",IFERROR('PROM (Matematica)'!BM12,""))</f>
        <v/>
      </c>
      <c r="H23" s="47" t="str">
        <f>IF(MAESTRO!B12="","",IFERROR('PROM (Matematica)'!CU12,""))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(Matematica)'!AE13,""))</f>
        <v/>
      </c>
      <c r="G24" s="47" t="str">
        <f>IF(MAESTRO!B13="","",IFERROR('PROM (Matematica)'!BM13,""))</f>
        <v/>
      </c>
      <c r="H24" s="47" t="str">
        <f>IF(MAESTRO!B13="","",IFERROR('PROM (Matematica)'!CU13,""))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(Matematica)'!AE14,""))</f>
        <v/>
      </c>
      <c r="G25" s="47" t="str">
        <f>IF(MAESTRO!B14="","",IFERROR('PROM (Matematica)'!BM14,""))</f>
        <v/>
      </c>
      <c r="H25" s="47" t="str">
        <f>IF(MAESTRO!B14="","",IFERROR('PROM (Matematica)'!CU14,""))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(Matematica)'!AE15,""))</f>
        <v/>
      </c>
      <c r="G26" s="47" t="str">
        <f>IF(MAESTRO!B15="","",IFERROR('PROM (Matematica)'!BM15,""))</f>
        <v/>
      </c>
      <c r="H26" s="47" t="str">
        <f>IF(MAESTRO!B15="","",IFERROR('PROM (Matematica)'!CU15,""))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(Matematica)'!AE16,""))</f>
        <v/>
      </c>
      <c r="G27" s="47" t="str">
        <f>IF(MAESTRO!B16="","",IFERROR('PROM (Matematica)'!BM16,""))</f>
        <v/>
      </c>
      <c r="H27" s="47" t="str">
        <f>IF(MAESTRO!B16="","",IFERROR('PROM (Matematica)'!CU16,""))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(Matematica)'!AE17,""))</f>
        <v/>
      </c>
      <c r="G28" s="47" t="str">
        <f>IF(MAESTRO!B17="","",IFERROR('PROM (Matematica)'!BM17,""))</f>
        <v/>
      </c>
      <c r="H28" s="47" t="str">
        <f>IF(MAESTRO!B17="","",IFERROR('PROM (Matematica)'!CU17,""))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(Matematica)'!AE18,""))</f>
        <v/>
      </c>
      <c r="G29" s="47" t="str">
        <f>IF(MAESTRO!B18="","",IFERROR('PROM (Matematica)'!BM18,""))</f>
        <v/>
      </c>
      <c r="H29" s="47" t="str">
        <f>IF(MAESTRO!B18="","",IFERROR('PROM (Matematica)'!CU18,""))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(Matematica)'!AE19,""))</f>
        <v/>
      </c>
      <c r="G30" s="47" t="str">
        <f>IF(MAESTRO!B19="","",IFERROR('PROM (Matematica)'!BM19,""))</f>
        <v/>
      </c>
      <c r="H30" s="47" t="str">
        <f>IF(MAESTRO!B19="","",IFERROR('PROM (Matematica)'!CU19,""))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(Matematica)'!AE20,""))</f>
        <v/>
      </c>
      <c r="G31" s="47" t="str">
        <f>IF(MAESTRO!B20="","",IFERROR('PROM (Matematica)'!BM20,""))</f>
        <v/>
      </c>
      <c r="H31" s="47" t="str">
        <f>IF(MAESTRO!B20="","",IFERROR('PROM (Matematica)'!CU20,""))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(Matematica)'!AE21,""))</f>
        <v/>
      </c>
      <c r="G32" s="47" t="str">
        <f>IF(MAESTRO!B21="","",IFERROR('PROM (Matematica)'!BM21,""))</f>
        <v/>
      </c>
      <c r="H32" s="47" t="str">
        <f>IF(MAESTRO!B21="","",IFERROR('PROM (Matematica)'!CU21,""))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(Matematica)'!AE22,""))</f>
        <v/>
      </c>
      <c r="G33" s="47" t="str">
        <f>IF(MAESTRO!B22="","",IFERROR('PROM (Matematica)'!BM22,""))</f>
        <v/>
      </c>
      <c r="H33" s="47" t="str">
        <f>IF(MAESTRO!B22="","",IFERROR('PROM (Matematica)'!CU22,""))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(Matematica)'!AE23,""))</f>
        <v/>
      </c>
      <c r="G34" s="47" t="str">
        <f>IF(MAESTRO!B23="","",IFERROR('PROM (Matematica)'!BM23,""))</f>
        <v/>
      </c>
      <c r="H34" s="47" t="str">
        <f>IF(MAESTRO!B23="","",IFERROR('PROM (Matematica)'!CU23,""))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(Matematica)'!AE24,""))</f>
        <v/>
      </c>
      <c r="G35" s="47" t="str">
        <f>IF(MAESTRO!B24="","",IFERROR('PROM (Matematica)'!BM24,""))</f>
        <v/>
      </c>
      <c r="H35" s="47" t="str">
        <f>IF(MAESTRO!B24="","",IFERROR('PROM (Matematica)'!CU24,""))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(Matematica)'!AE25,""))</f>
        <v/>
      </c>
      <c r="G36" s="47" t="str">
        <f>IF(MAESTRO!B25="","",IFERROR('PROM (Matematica)'!BM25,""))</f>
        <v/>
      </c>
      <c r="H36" s="47" t="str">
        <f>IF(MAESTRO!B25="","",IFERROR('PROM (Matematica)'!CU25,""))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(Matematica)'!AE26,""))</f>
        <v/>
      </c>
      <c r="G37" s="47" t="str">
        <f>IF(MAESTRO!B26="","",IFERROR('PROM (Matematica)'!BM26,""))</f>
        <v/>
      </c>
      <c r="H37" s="47" t="str">
        <f>IF(MAESTRO!B26="","",IFERROR('PROM (Matematica)'!CU26,""))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(Matematica)'!AE27,""))</f>
        <v/>
      </c>
      <c r="G38" s="47" t="str">
        <f>IF(MAESTRO!B27="","",IFERROR('PROM (Matematica)'!BM27,""))</f>
        <v/>
      </c>
      <c r="H38" s="47" t="str">
        <f>IF(MAESTRO!B27="","",IFERROR('PROM (Matematica)'!CU27,""))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(Matematica)'!AE28,""))</f>
        <v/>
      </c>
      <c r="G39" s="47" t="str">
        <f>IF(MAESTRO!B28="","",IFERROR('PROM (Matematica)'!BM28,""))</f>
        <v/>
      </c>
      <c r="H39" s="47" t="str">
        <f>IF(MAESTRO!B28="","",IFERROR('PROM (Matematica)'!CU28,""))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(Matematica)'!AE29,""))</f>
        <v/>
      </c>
      <c r="G40" s="47" t="str">
        <f>IF(MAESTRO!B29="","",IFERROR('PROM (Matematica)'!BM29,""))</f>
        <v/>
      </c>
      <c r="H40" s="47" t="str">
        <f>IF(MAESTRO!B29="","",IFERROR('PROM (Matematica)'!CU29,""))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(Matematica)'!AE30,""))</f>
        <v/>
      </c>
      <c r="G41" s="47" t="str">
        <f>IF(MAESTRO!B30="","",IFERROR('PROM (Matematica)'!BM30,""))</f>
        <v/>
      </c>
      <c r="H41" s="47" t="str">
        <f>IF(MAESTRO!B30="","",IFERROR('PROM (Matematica)'!CU30,""))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(Matematica)'!AE31,""))</f>
        <v/>
      </c>
      <c r="G42" s="47" t="str">
        <f>IF(MAESTRO!B31="","",IFERROR('PROM (Matematica)'!BM31,""))</f>
        <v/>
      </c>
      <c r="H42" s="47" t="str">
        <f>IF(MAESTRO!B31="","",IFERROR('PROM (Matematica)'!CU31,""))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(Matematica)'!AE32,""))</f>
        <v/>
      </c>
      <c r="G43" s="47" t="str">
        <f>IF(MAESTRO!B32="","",IFERROR('PROM (Matematica)'!BM32,""))</f>
        <v/>
      </c>
      <c r="H43" s="47" t="str">
        <f>IF(MAESTRO!B32="","",IFERROR('PROM (Matematica)'!CU32,""))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(Matematica)'!AE33,""))</f>
        <v/>
      </c>
      <c r="G44" s="47" t="str">
        <f>IF(MAESTRO!B33="","",IFERROR('PROM (Matematica)'!BM33,""))</f>
        <v/>
      </c>
      <c r="H44" s="47" t="str">
        <f>IF(MAESTRO!B33="","",IFERROR('PROM (Matematica)'!CU33,""))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(Matematica)'!AE34,""))</f>
        <v/>
      </c>
      <c r="G45" s="47" t="str">
        <f>IF(MAESTRO!B34="","",IFERROR('PROM (Matematica)'!BM34,""))</f>
        <v/>
      </c>
      <c r="H45" s="47" t="str">
        <f>IF(MAESTRO!B34="","",IFERROR('PROM (Matematica)'!CU34,""))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(Matematica)'!AE35,""))</f>
        <v/>
      </c>
      <c r="G46" s="47" t="str">
        <f>IF(MAESTRO!B35="","",IFERROR('PROM (Matematica)'!BM35,""))</f>
        <v/>
      </c>
      <c r="H46" s="47" t="str">
        <f>IF(MAESTRO!B35="","",IFERROR('PROM (Matematica)'!CU35,""))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(Matematica)'!AE36,""))</f>
        <v/>
      </c>
      <c r="G47" s="47" t="str">
        <f>IF(MAESTRO!B36="","",IFERROR('PROM (Matematica)'!BM36,""))</f>
        <v/>
      </c>
      <c r="H47" s="47" t="str">
        <f>IF(MAESTRO!B36="","",IFERROR('PROM (Matematica)'!CU36,""))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(Matematica)'!AE37,""))</f>
        <v/>
      </c>
      <c r="G48" s="47" t="str">
        <f>IF(MAESTRO!B37="","",IFERROR('PROM (Matematica)'!BM37,""))</f>
        <v/>
      </c>
      <c r="H48" s="47" t="str">
        <f>IF(MAESTRO!B37="","",IFERROR('PROM (Matematica)'!CU37,""))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(Matematica)'!AE38,""))</f>
        <v/>
      </c>
      <c r="G49" s="47" t="str">
        <f>IF(MAESTRO!B38="","",IFERROR('PROM (Matematica)'!BM38,""))</f>
        <v/>
      </c>
      <c r="H49" s="47" t="str">
        <f>IF(MAESTRO!B38="","",IFERROR('PROM (Matematica)'!CU38,""))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(Matematica)'!AE39,""))</f>
        <v/>
      </c>
      <c r="G50" s="47" t="str">
        <f>IF(MAESTRO!B39="","",IFERROR('PROM (Matematica)'!BM39,""))</f>
        <v/>
      </c>
      <c r="H50" s="47" t="str">
        <f>IF(MAESTRO!B39="","",IFERROR('PROM (Matematica)'!CU39,""))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(Matematica)'!AE40,""))</f>
        <v/>
      </c>
      <c r="G51" s="47" t="str">
        <f>IF(MAESTRO!B40="","",IFERROR('PROM (Matematica)'!BM40,""))</f>
        <v/>
      </c>
      <c r="H51" s="47" t="str">
        <f>IF(MAESTRO!B40="","",IFERROR('PROM (Matematica)'!CU40,""))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(Matematica)'!AE41,""))</f>
        <v/>
      </c>
      <c r="G52" s="47" t="str">
        <f>IF(MAESTRO!B41="","",IFERROR('PROM (Matematica)'!BM41,""))</f>
        <v/>
      </c>
      <c r="H52" s="47" t="str">
        <f>IF(MAESTRO!B41="","",IFERROR('PROM (Matematica)'!CU41,""))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(Matematica)'!AE42,""))</f>
        <v/>
      </c>
      <c r="G53" s="47" t="str">
        <f>IF(MAESTRO!B42="","",IFERROR('PROM (Matematica)'!BM42,""))</f>
        <v/>
      </c>
      <c r="H53" s="47" t="str">
        <f>IF(MAESTRO!B42="","",IFERROR('PROM (Matematica)'!CU42,""))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(Matematica)'!AE43,""))</f>
        <v/>
      </c>
      <c r="G54" s="47" t="str">
        <f>IF(MAESTRO!B43="","",IFERROR('PROM (Matematica)'!BM43,""))</f>
        <v/>
      </c>
      <c r="H54" s="47" t="str">
        <f>IF(MAESTRO!B43="","",IFERROR('PROM (Matematica)'!CU43,""))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(Matematica)'!AE44,""))</f>
        <v/>
      </c>
      <c r="G55" s="47" t="str">
        <f>IF(MAESTRO!B44="","",IFERROR('PROM (Matematica)'!BM44,""))</f>
        <v/>
      </c>
      <c r="H55" s="47" t="str">
        <f>IF(MAESTRO!B44="","",IFERROR('PROM (Matematica)'!CU44,""))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DCEC-5184-49B2-AFC8-D59A0808E077}">
  <sheetPr>
    <tabColor rgb="FF4472C4"/>
  </sheetPr>
  <dimension ref="A1:EE48"/>
  <sheetViews>
    <sheetView view="pageLayout" zoomScale="50" zoomScaleNormal="100" zoomScalePageLayoutView="50" workbookViewId="0">
      <selection activeCell="AA5" sqref="AA5:AA38"/>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17" priority="2" operator="lessThan">
      <formula>3</formula>
    </cfRule>
  </conditionalFormatting>
  <conditionalFormatting sqref="BM3:BM4">
    <cfRule type="cellIs" dxfId="16"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26807-36EE-4EDD-8ABC-F5DF31913ABF}">
  <sheetPr>
    <tabColor rgb="FF70A0D4"/>
  </sheetPr>
  <dimension ref="B3:Q56"/>
  <sheetViews>
    <sheetView view="pageLayout" topLeftCell="A30" zoomScale="70" zoomScaleNormal="100" zoomScalePageLayoutView="70" workbookViewId="0">
      <selection activeCell="F54" sqref="F54"/>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145</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(C. Sociales)'!AE5,""))</f>
        <v/>
      </c>
      <c r="G16" s="47" t="str">
        <f>IF(MAESTRO!B5="","",IFERROR('PROM (C. Sociales)'!BM5,""))</f>
        <v/>
      </c>
      <c r="H16" s="47" t="str">
        <f>IF(MAESTRO!B5="","",IFERROR('PROM (C. Sociales)'!CU5,""))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(C. Sociales)'!AE6,""))</f>
        <v/>
      </c>
      <c r="G17" s="47" t="str">
        <f>IF(MAESTRO!B6="","",IFERROR('PROM (C. Sociales)'!BM6,""))</f>
        <v/>
      </c>
      <c r="H17" s="47" t="str">
        <f>IF(MAESTRO!B6="","",IFERROR('PROM (C. Sociales)'!CU6,""))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(C. Sociales)'!AE7,""))</f>
        <v/>
      </c>
      <c r="G18" s="47" t="str">
        <f>IF(MAESTRO!B7="","",IFERROR('PROM (C. Sociales)'!BM7,""))</f>
        <v/>
      </c>
      <c r="H18" s="47" t="str">
        <f>IF(MAESTRO!B7="","",IFERROR('PROM (C. Sociales)'!CU7,""))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(C. Sociales)'!AE8,""))</f>
        <v/>
      </c>
      <c r="G19" s="47" t="str">
        <f>IF(MAESTRO!B8="","",IFERROR('PROM (C. Sociales)'!BM8,""))</f>
        <v/>
      </c>
      <c r="H19" s="47" t="str">
        <f>IF(MAESTRO!B8="","",IFERROR('PROM (C. Sociales)'!CU8,""))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(C. Sociales)'!AE9,""))</f>
        <v/>
      </c>
      <c r="G20" s="47" t="str">
        <f>IF(MAESTRO!B9="","",IFERROR('PROM (C. Sociales)'!BM9,""))</f>
        <v/>
      </c>
      <c r="H20" s="47" t="str">
        <f>IF(MAESTRO!B9="","",IFERROR('PROM (C. Sociales)'!CU9,""))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(C. Sociales)'!AE10,""))</f>
        <v/>
      </c>
      <c r="G21" s="47" t="str">
        <f>IF(MAESTRO!B10="","",IFERROR('PROM (C. Sociales)'!BM10,""))</f>
        <v/>
      </c>
      <c r="H21" s="47" t="str">
        <f>IF(MAESTRO!B10="","",IFERROR('PROM (C. Sociales)'!CU10,""))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(C. Sociales)'!AE11,""))</f>
        <v/>
      </c>
      <c r="G22" s="47" t="str">
        <f>IF(MAESTRO!B11="","",IFERROR('PROM (C. Sociales)'!BM11,""))</f>
        <v/>
      </c>
      <c r="H22" s="47" t="str">
        <f>IF(MAESTRO!B11="","",IFERROR('PROM (C. Sociales)'!CU11,""))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(C. Sociales)'!AE12,""))</f>
        <v/>
      </c>
      <c r="G23" s="47" t="str">
        <f>IF(MAESTRO!B12="","",IFERROR('PROM (C. Sociales)'!BM12,""))</f>
        <v/>
      </c>
      <c r="H23" s="47" t="str">
        <f>IF(MAESTRO!B12="","",IFERROR('PROM (C. Sociales)'!CU12,""))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(C. Sociales)'!AE13,""))</f>
        <v/>
      </c>
      <c r="G24" s="47" t="str">
        <f>IF(MAESTRO!B13="","",IFERROR('PROM (C. Sociales)'!BM13,""))</f>
        <v/>
      </c>
      <c r="H24" s="47" t="str">
        <f>IF(MAESTRO!B13="","",IFERROR('PROM (C. Sociales)'!CU13,""))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(C. Sociales)'!AE14,""))</f>
        <v/>
      </c>
      <c r="G25" s="47" t="str">
        <f>IF(MAESTRO!B14="","",IFERROR('PROM (C. Sociales)'!BM14,""))</f>
        <v/>
      </c>
      <c r="H25" s="47" t="str">
        <f>IF(MAESTRO!B14="","",IFERROR('PROM (C. Sociales)'!CU14,""))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(C. Sociales)'!AE15,""))</f>
        <v/>
      </c>
      <c r="G26" s="47" t="str">
        <f>IF(MAESTRO!B15="","",IFERROR('PROM (C. Sociales)'!BM15,""))</f>
        <v/>
      </c>
      <c r="H26" s="47" t="str">
        <f>IF(MAESTRO!B15="","",IFERROR('PROM (C. Sociales)'!CU15,""))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(C. Sociales)'!AE16,""))</f>
        <v/>
      </c>
      <c r="G27" s="47" t="str">
        <f>IF(MAESTRO!B16="","",IFERROR('PROM (C. Sociales)'!BM16,""))</f>
        <v/>
      </c>
      <c r="H27" s="47" t="str">
        <f>IF(MAESTRO!B16="","",IFERROR('PROM (C. Sociales)'!CU16,""))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(C. Sociales)'!AE17,""))</f>
        <v/>
      </c>
      <c r="G28" s="47" t="str">
        <f>IF(MAESTRO!B17="","",IFERROR('PROM (C. Sociales)'!BM17,""))</f>
        <v/>
      </c>
      <c r="H28" s="47" t="str">
        <f>IF(MAESTRO!B17="","",IFERROR('PROM (C. Sociales)'!CU17,""))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(C. Sociales)'!AE18,""))</f>
        <v/>
      </c>
      <c r="G29" s="47" t="str">
        <f>IF(MAESTRO!B18="","",IFERROR('PROM (C. Sociales)'!BM18,""))</f>
        <v/>
      </c>
      <c r="H29" s="47" t="str">
        <f>IF(MAESTRO!B18="","",IFERROR('PROM (C. Sociales)'!CU18,""))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(C. Sociales)'!AE19,""))</f>
        <v/>
      </c>
      <c r="G30" s="47" t="str">
        <f>IF(MAESTRO!B19="","",IFERROR('PROM (C. Sociales)'!BM19,""))</f>
        <v/>
      </c>
      <c r="H30" s="47" t="str">
        <f>IF(MAESTRO!B19="","",IFERROR('PROM (C. Sociales)'!CU19,""))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(C. Sociales)'!AE20,""))</f>
        <v/>
      </c>
      <c r="G31" s="47" t="str">
        <f>IF(MAESTRO!B20="","",IFERROR('PROM (C. Sociales)'!BM20,""))</f>
        <v/>
      </c>
      <c r="H31" s="47" t="str">
        <f>IF(MAESTRO!B20="","",IFERROR('PROM (C. Sociales)'!CU20,""))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(C. Sociales)'!AE21,""))</f>
        <v/>
      </c>
      <c r="G32" s="47" t="str">
        <f>IF(MAESTRO!B21="","",IFERROR('PROM (C. Sociales)'!BM21,""))</f>
        <v/>
      </c>
      <c r="H32" s="47" t="str">
        <f>IF(MAESTRO!B21="","",IFERROR('PROM (C. Sociales)'!CU21,""))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(C. Sociales)'!AE22,""))</f>
        <v/>
      </c>
      <c r="G33" s="47" t="str">
        <f>IF(MAESTRO!B22="","",IFERROR('PROM (C. Sociales)'!BM22,""))</f>
        <v/>
      </c>
      <c r="H33" s="47" t="str">
        <f>IF(MAESTRO!B22="","",IFERROR('PROM (C. Sociales)'!CU22,""))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(C. Sociales)'!AE23,""))</f>
        <v/>
      </c>
      <c r="G34" s="47" t="str">
        <f>IF(MAESTRO!B23="","",IFERROR('PROM (C. Sociales)'!BM23,""))</f>
        <v/>
      </c>
      <c r="H34" s="47" t="str">
        <f>IF(MAESTRO!B23="","",IFERROR('PROM (C. Sociales)'!CU23,""))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(C. Sociales)'!AE24,""))</f>
        <v/>
      </c>
      <c r="G35" s="47" t="str">
        <f>IF(MAESTRO!B24="","",IFERROR('PROM (C. Sociales)'!BM24,""))</f>
        <v/>
      </c>
      <c r="H35" s="47" t="str">
        <f>IF(MAESTRO!B24="","",IFERROR('PROM (C. Sociales)'!CU24,""))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(C. Sociales)'!AE25,""))</f>
        <v/>
      </c>
      <c r="G36" s="47" t="str">
        <f>IF(MAESTRO!B25="","",IFERROR('PROM (C. Sociales)'!BM25,""))</f>
        <v/>
      </c>
      <c r="H36" s="47" t="str">
        <f>IF(MAESTRO!B25="","",IFERROR('PROM (C. Sociales)'!CU25,""))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(C. Sociales)'!AE26,""))</f>
        <v/>
      </c>
      <c r="G37" s="47" t="str">
        <f>IF(MAESTRO!B26="","",IFERROR('PROM (C. Sociales)'!BM26,""))</f>
        <v/>
      </c>
      <c r="H37" s="47" t="str">
        <f>IF(MAESTRO!B26="","",IFERROR('PROM (C. Sociales)'!CU26,""))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(C. Sociales)'!AE27,""))</f>
        <v/>
      </c>
      <c r="G38" s="47" t="str">
        <f>IF(MAESTRO!B27="","",IFERROR('PROM (C. Sociales)'!BM27,""))</f>
        <v/>
      </c>
      <c r="H38" s="47" t="str">
        <f>IF(MAESTRO!B27="","",IFERROR('PROM (C. Sociales)'!CU27,""))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(C. Sociales)'!AE28,""))</f>
        <v/>
      </c>
      <c r="G39" s="47" t="str">
        <f>IF(MAESTRO!B28="","",IFERROR('PROM (C. Sociales)'!BM28,""))</f>
        <v/>
      </c>
      <c r="H39" s="47" t="str">
        <f>IF(MAESTRO!B28="","",IFERROR('PROM (C. Sociales)'!CU28,""))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(C. Sociales)'!AE29,""))</f>
        <v/>
      </c>
      <c r="G40" s="47" t="str">
        <f>IF(MAESTRO!B29="","",IFERROR('PROM (C. Sociales)'!BM29,""))</f>
        <v/>
      </c>
      <c r="H40" s="47" t="str">
        <f>IF(MAESTRO!B29="","",IFERROR('PROM (C. Sociales)'!CU29,""))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(C. Sociales)'!AE30,""))</f>
        <v/>
      </c>
      <c r="G41" s="47" t="str">
        <f>IF(MAESTRO!B30="","",IFERROR('PROM (C. Sociales)'!BM30,""))</f>
        <v/>
      </c>
      <c r="H41" s="47" t="str">
        <f>IF(MAESTRO!B30="","",IFERROR('PROM (C. Sociales)'!CU30,""))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(C. Sociales)'!AE31,""))</f>
        <v/>
      </c>
      <c r="G42" s="47" t="str">
        <f>IF(MAESTRO!B31="","",IFERROR('PROM (C. Sociales)'!BM31,""))</f>
        <v/>
      </c>
      <c r="H42" s="47" t="str">
        <f>IF(MAESTRO!B31="","",IFERROR('PROM (C. Sociales)'!CU31,""))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(C. Sociales)'!AE32,""))</f>
        <v/>
      </c>
      <c r="G43" s="47" t="str">
        <f>IF(MAESTRO!B32="","",IFERROR('PROM (C. Sociales)'!BM32,""))</f>
        <v/>
      </c>
      <c r="H43" s="47" t="str">
        <f>IF(MAESTRO!B32="","",IFERROR('PROM (C. Sociales)'!CU32,""))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(C. Sociales)'!AE33,""))</f>
        <v/>
      </c>
      <c r="G44" s="47" t="str">
        <f>IF(MAESTRO!B33="","",IFERROR('PROM (C. Sociales)'!BM33,""))</f>
        <v/>
      </c>
      <c r="H44" s="47" t="str">
        <f>IF(MAESTRO!B33="","",IFERROR('PROM (C. Sociales)'!CU33,""))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(C. Sociales)'!AE34,""))</f>
        <v/>
      </c>
      <c r="G45" s="47" t="str">
        <f>IF(MAESTRO!B34="","",IFERROR('PROM (C. Sociales)'!BM34,""))</f>
        <v/>
      </c>
      <c r="H45" s="47" t="str">
        <f>IF(MAESTRO!B34="","",IFERROR('PROM (C. Sociales)'!CU34,""))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(C. Sociales)'!AE35,""))</f>
        <v/>
      </c>
      <c r="G46" s="47" t="str">
        <f>IF(MAESTRO!B35="","",IFERROR('PROM (C. Sociales)'!BM35,""))</f>
        <v/>
      </c>
      <c r="H46" s="47" t="str">
        <f>IF(MAESTRO!B35="","",IFERROR('PROM (C. Sociales)'!CU35,""))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(C. Sociales)'!AE36,""))</f>
        <v/>
      </c>
      <c r="G47" s="47" t="str">
        <f>IF(MAESTRO!B36="","",IFERROR('PROM (C. Sociales)'!BM36,""))</f>
        <v/>
      </c>
      <c r="H47" s="47" t="str">
        <f>IF(MAESTRO!B36="","",IFERROR('PROM (C. Sociales)'!CU36,""))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(C. Sociales)'!AE37,""))</f>
        <v/>
      </c>
      <c r="G48" s="47" t="str">
        <f>IF(MAESTRO!B37="","",IFERROR('PROM (C. Sociales)'!BM37,""))</f>
        <v/>
      </c>
      <c r="H48" s="47" t="str">
        <f>IF(MAESTRO!B37="","",IFERROR('PROM (C. Sociales)'!CU37,""))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(C. Sociales)'!AE38,""))</f>
        <v/>
      </c>
      <c r="G49" s="47" t="str">
        <f>IF(MAESTRO!B38="","",IFERROR('PROM (C. Sociales)'!BM38,""))</f>
        <v/>
      </c>
      <c r="H49" s="47" t="str">
        <f>IF(MAESTRO!B38="","",IFERROR('PROM (C. Sociales)'!CU38,""))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(C. Sociales)'!AE39,""))</f>
        <v/>
      </c>
      <c r="G50" s="47" t="str">
        <f>IF(MAESTRO!B39="","",IFERROR('PROM (C. Sociales)'!BM39,""))</f>
        <v/>
      </c>
      <c r="H50" s="47" t="str">
        <f>IF(MAESTRO!B39="","",IFERROR('PROM (C. Sociales)'!CU39,""))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(C. Sociales)'!AE40,""))</f>
        <v/>
      </c>
      <c r="G51" s="47" t="str">
        <f>IF(MAESTRO!B40="","",IFERROR('PROM (C. Sociales)'!BM40,""))</f>
        <v/>
      </c>
      <c r="H51" s="47" t="str">
        <f>IF(MAESTRO!B40="","",IFERROR('PROM (C. Sociales)'!CU40,""))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(C. Sociales)'!AE41,""))</f>
        <v/>
      </c>
      <c r="G52" s="47" t="str">
        <f>IF(MAESTRO!B41="","",IFERROR('PROM (C. Sociales)'!BM41,""))</f>
        <v/>
      </c>
      <c r="H52" s="47" t="str">
        <f>IF(MAESTRO!B41="","",IFERROR('PROM (C. Sociales)'!CU41,""))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(C. Sociales)'!AE42,""))</f>
        <v/>
      </c>
      <c r="G53" s="47" t="str">
        <f>IF(MAESTRO!B42="","",IFERROR('PROM (C. Sociales)'!BM42,""))</f>
        <v/>
      </c>
      <c r="H53" s="47" t="str">
        <f>IF(MAESTRO!B42="","",IFERROR('PROM (C. Sociales)'!CU42,""))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(C. Sociales)'!AE43,""))</f>
        <v/>
      </c>
      <c r="G54" s="47" t="str">
        <f>IF(MAESTRO!B43="","",IFERROR('PROM (C. Sociales)'!BM43,""))</f>
        <v/>
      </c>
      <c r="H54" s="47" t="str">
        <f>IF(MAESTRO!B43="","",IFERROR('PROM (C. Sociales)'!CU43,""))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(C. Sociales)'!AE44,""))</f>
        <v/>
      </c>
      <c r="G55" s="47" t="str">
        <f>IF(MAESTRO!B44="","",IFERROR('PROM (C. Sociales)'!BM44,""))</f>
        <v/>
      </c>
      <c r="H55" s="47" t="str">
        <f>IF(MAESTRO!B44="","",IFERROR('PROM (C. Sociales)'!CU44,""))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15" priority="1" operator="lessThan">
      <formula>3</formula>
    </cfRule>
  </conditionalFormatting>
  <pageMargins left="0.25" right="4.9479166666666657E-2" top="0.75" bottom="0.75" header="0.3" footer="0.3"/>
  <pageSetup orientation="portrait" horizontalDpi="4294967293"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2A41B-DCA0-48C2-AD23-4AD8E935A650}">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14" priority="2" operator="lessThan">
      <formula>3</formula>
    </cfRule>
  </conditionalFormatting>
  <conditionalFormatting sqref="BM3:BM4">
    <cfRule type="cellIs" dxfId="13"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5FD1B-6009-401D-BD68-5A61C3843DC1}">
  <sheetPr>
    <tabColor rgb="FF70A0D4"/>
  </sheetPr>
  <dimension ref="B3:Q56"/>
  <sheetViews>
    <sheetView view="pageLayout" topLeftCell="A36" zoomScale="70" zoomScaleNormal="100" zoomScalePageLayoutView="70" workbookViewId="0">
      <selection activeCell="J55" sqref="J55"/>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146</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(C. Naturales)'!AE5,""))</f>
        <v/>
      </c>
      <c r="G16" s="47" t="str">
        <f>IF(MAESTRO!B5="","",IFERROR('PROM (C. Naturales)'!BM5,""))</f>
        <v/>
      </c>
      <c r="H16" s="47" t="str">
        <f>IF(MAESTRO!B5="","",IFERROR('PROM (C. Naturales)'!CU5,""))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(C. Naturales)'!AE6,""))</f>
        <v/>
      </c>
      <c r="G17" s="47" t="str">
        <f>IF(MAESTRO!B6="","",IFERROR('PROM (C. Naturales)'!BM6,""))</f>
        <v/>
      </c>
      <c r="H17" s="47" t="str">
        <f>IF(MAESTRO!B6="","",IFERROR('PROM (C. Naturales)'!CU6,""))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(C. Naturales)'!AE7,""))</f>
        <v/>
      </c>
      <c r="G18" s="47" t="str">
        <f>IF(MAESTRO!B7="","",IFERROR('PROM (C. Naturales)'!BM7,""))</f>
        <v/>
      </c>
      <c r="H18" s="47" t="str">
        <f>IF(MAESTRO!B7="","",IFERROR('PROM (C. Naturales)'!CU7,""))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(C. Naturales)'!AE8,""))</f>
        <v/>
      </c>
      <c r="G19" s="47" t="str">
        <f>IF(MAESTRO!B8="","",IFERROR('PROM (C. Naturales)'!BM8,""))</f>
        <v/>
      </c>
      <c r="H19" s="47" t="str">
        <f>IF(MAESTRO!B8="","",IFERROR('PROM (C. Naturales)'!CU8,""))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(C. Naturales)'!AE9,""))</f>
        <v/>
      </c>
      <c r="G20" s="47" t="str">
        <f>IF(MAESTRO!B9="","",IFERROR('PROM (C. Naturales)'!BM9,""))</f>
        <v/>
      </c>
      <c r="H20" s="47" t="str">
        <f>IF(MAESTRO!B9="","",IFERROR('PROM (C. Naturales)'!CU9,""))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(C. Naturales)'!AE10,""))</f>
        <v/>
      </c>
      <c r="G21" s="47" t="str">
        <f>IF(MAESTRO!B10="","",IFERROR('PROM (C. Naturales)'!BM10,""))</f>
        <v/>
      </c>
      <c r="H21" s="47" t="str">
        <f>IF(MAESTRO!B10="","",IFERROR('PROM (C. Naturales)'!CU10,""))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(C. Naturales)'!AE11,""))</f>
        <v/>
      </c>
      <c r="G22" s="47" t="str">
        <f>IF(MAESTRO!B11="","",IFERROR('PROM (C. Naturales)'!BM11,""))</f>
        <v/>
      </c>
      <c r="H22" s="47" t="str">
        <f>IF(MAESTRO!B11="","",IFERROR('PROM (C. Naturales)'!CU11,""))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(C. Naturales)'!AE12,""))</f>
        <v/>
      </c>
      <c r="G23" s="47" t="str">
        <f>IF(MAESTRO!B12="","",IFERROR('PROM (C. Naturales)'!BM12,""))</f>
        <v/>
      </c>
      <c r="H23" s="47" t="str">
        <f>IF(MAESTRO!B12="","",IFERROR('PROM (C. Naturales)'!CU12,""))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(C. Naturales)'!AE13,""))</f>
        <v/>
      </c>
      <c r="G24" s="47" t="str">
        <f>IF(MAESTRO!B13="","",IFERROR('PROM (C. Naturales)'!BM13,""))</f>
        <v/>
      </c>
      <c r="H24" s="47" t="str">
        <f>IF(MAESTRO!B13="","",IFERROR('PROM (C. Naturales)'!CU13,""))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(C. Naturales)'!AE14,""))</f>
        <v/>
      </c>
      <c r="G25" s="47" t="str">
        <f>IF(MAESTRO!B14="","",IFERROR('PROM (C. Naturales)'!BM14,""))</f>
        <v/>
      </c>
      <c r="H25" s="47" t="str">
        <f>IF(MAESTRO!B14="","",IFERROR('PROM (C. Naturales)'!CU14,""))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(C. Naturales)'!AE15,""))</f>
        <v/>
      </c>
      <c r="G26" s="47" t="str">
        <f>IF(MAESTRO!B15="","",IFERROR('PROM (C. Naturales)'!BM15,""))</f>
        <v/>
      </c>
      <c r="H26" s="47" t="str">
        <f>IF(MAESTRO!B15="","",IFERROR('PROM (C. Naturales)'!CU15,""))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(C. Naturales)'!AE16,""))</f>
        <v/>
      </c>
      <c r="G27" s="47" t="str">
        <f>IF(MAESTRO!B16="","",IFERROR('PROM (C. Naturales)'!BM16,""))</f>
        <v/>
      </c>
      <c r="H27" s="47" t="str">
        <f>IF(MAESTRO!B16="","",IFERROR('PROM (C. Naturales)'!CU16,""))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(C. Naturales)'!AE17,""))</f>
        <v/>
      </c>
      <c r="G28" s="47" t="str">
        <f>IF(MAESTRO!B17="","",IFERROR('PROM (C. Naturales)'!BM17,""))</f>
        <v/>
      </c>
      <c r="H28" s="47" t="str">
        <f>IF(MAESTRO!B17="","",IFERROR('PROM (C. Naturales)'!CU17,""))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(C. Naturales)'!AE18,""))</f>
        <v/>
      </c>
      <c r="G29" s="47" t="str">
        <f>IF(MAESTRO!B18="","",IFERROR('PROM (C. Naturales)'!BM18,""))</f>
        <v/>
      </c>
      <c r="H29" s="47" t="str">
        <f>IF(MAESTRO!B18="","",IFERROR('PROM (C. Naturales)'!CU18,""))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(C. Naturales)'!AE19,""))</f>
        <v/>
      </c>
      <c r="G30" s="47" t="str">
        <f>IF(MAESTRO!B19="","",IFERROR('PROM (C. Naturales)'!BM19,""))</f>
        <v/>
      </c>
      <c r="H30" s="47" t="str">
        <f>IF(MAESTRO!B19="","",IFERROR('PROM (C. Naturales)'!CU19,""))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(C. Naturales)'!AE20,""))</f>
        <v/>
      </c>
      <c r="G31" s="47" t="str">
        <f>IF(MAESTRO!B20="","",IFERROR('PROM (C. Naturales)'!BM20,""))</f>
        <v/>
      </c>
      <c r="H31" s="47" t="str">
        <f>IF(MAESTRO!B20="","",IFERROR('PROM (C. Naturales)'!CU20,""))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(C. Naturales)'!AE21,""))</f>
        <v/>
      </c>
      <c r="G32" s="47" t="str">
        <f>IF(MAESTRO!B21="","",IFERROR('PROM (C. Naturales)'!BM21,""))</f>
        <v/>
      </c>
      <c r="H32" s="47" t="str">
        <f>IF(MAESTRO!B21="","",IFERROR('PROM (C. Naturales)'!CU21,""))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(C. Naturales)'!AE22,""))</f>
        <v/>
      </c>
      <c r="G33" s="47" t="str">
        <f>IF(MAESTRO!B22="","",IFERROR('PROM (C. Naturales)'!BM22,""))</f>
        <v/>
      </c>
      <c r="H33" s="47" t="str">
        <f>IF(MAESTRO!B22="","",IFERROR('PROM (C. Naturales)'!CU22,""))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(C. Naturales)'!AE23,""))</f>
        <v/>
      </c>
      <c r="G34" s="47" t="str">
        <f>IF(MAESTRO!B23="","",IFERROR('PROM (C. Naturales)'!BM23,""))</f>
        <v/>
      </c>
      <c r="H34" s="47" t="str">
        <f>IF(MAESTRO!B23="","",IFERROR('PROM (C. Naturales)'!CU23,""))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(C. Naturales)'!AE24,""))</f>
        <v/>
      </c>
      <c r="G35" s="47" t="str">
        <f>IF(MAESTRO!B24="","",IFERROR('PROM (C. Naturales)'!BM24,""))</f>
        <v/>
      </c>
      <c r="H35" s="47" t="str">
        <f>IF(MAESTRO!B24="","",IFERROR('PROM (C. Naturales)'!CU24,""))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(C. Naturales)'!AE25,""))</f>
        <v/>
      </c>
      <c r="G36" s="47" t="str">
        <f>IF(MAESTRO!B25="","",IFERROR('PROM (C. Naturales)'!BM25,""))</f>
        <v/>
      </c>
      <c r="H36" s="47" t="str">
        <f>IF(MAESTRO!B25="","",IFERROR('PROM (C. Naturales)'!CU25,""))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(C. Naturales)'!AE26,""))</f>
        <v/>
      </c>
      <c r="G37" s="47" t="str">
        <f>IF(MAESTRO!B26="","",IFERROR('PROM (C. Naturales)'!BM26,""))</f>
        <v/>
      </c>
      <c r="H37" s="47" t="str">
        <f>IF(MAESTRO!B26="","",IFERROR('PROM (C. Naturales)'!CU26,""))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(C. Naturales)'!AE27,""))</f>
        <v/>
      </c>
      <c r="G38" s="47" t="str">
        <f>IF(MAESTRO!B27="","",IFERROR('PROM (C. Naturales)'!BM27,""))</f>
        <v/>
      </c>
      <c r="H38" s="47" t="str">
        <f>IF(MAESTRO!B27="","",IFERROR('PROM (C. Naturales)'!CU27,""))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(C. Naturales)'!AE28,""))</f>
        <v/>
      </c>
      <c r="G39" s="47" t="str">
        <f>IF(MAESTRO!B28="","",IFERROR('PROM (C. Naturales)'!BM28,""))</f>
        <v/>
      </c>
      <c r="H39" s="47" t="str">
        <f>IF(MAESTRO!B28="","",IFERROR('PROM (C. Naturales)'!CU28,""))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(C. Naturales)'!AE29,""))</f>
        <v/>
      </c>
      <c r="G40" s="47" t="str">
        <f>IF(MAESTRO!B29="","",IFERROR('PROM (C. Naturales)'!BM29,""))</f>
        <v/>
      </c>
      <c r="H40" s="47" t="str">
        <f>IF(MAESTRO!B29="","",IFERROR('PROM (C. Naturales)'!CU29,""))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(C. Naturales)'!AE30,""))</f>
        <v/>
      </c>
      <c r="G41" s="47" t="str">
        <f>IF(MAESTRO!B30="","",IFERROR('PROM (C. Naturales)'!BM30,""))</f>
        <v/>
      </c>
      <c r="H41" s="47" t="str">
        <f>IF(MAESTRO!B30="","",IFERROR('PROM (C. Naturales)'!CU30,""))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(C. Naturales)'!AE31,""))</f>
        <v/>
      </c>
      <c r="G42" s="47" t="str">
        <f>IF(MAESTRO!B31="","",IFERROR('PROM (C. Naturales)'!BM31,""))</f>
        <v/>
      </c>
      <c r="H42" s="47" t="str">
        <f>IF(MAESTRO!B31="","",IFERROR('PROM (C. Naturales)'!CU31,""))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(C. Naturales)'!AE32,""))</f>
        <v/>
      </c>
      <c r="G43" s="47" t="str">
        <f>IF(MAESTRO!B32="","",IFERROR('PROM (C. Naturales)'!BM32,""))</f>
        <v/>
      </c>
      <c r="H43" s="47" t="str">
        <f>IF(MAESTRO!B32="","",IFERROR('PROM (C. Naturales)'!CU32,""))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(C. Naturales)'!AE33,""))</f>
        <v/>
      </c>
      <c r="G44" s="47" t="str">
        <f>IF(MAESTRO!B33="","",IFERROR('PROM (C. Naturales)'!BM33,""))</f>
        <v/>
      </c>
      <c r="H44" s="47" t="str">
        <f>IF(MAESTRO!B33="","",IFERROR('PROM (C. Naturales)'!CU33,""))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(C. Naturales)'!AE34,""))</f>
        <v/>
      </c>
      <c r="G45" s="47" t="str">
        <f>IF(MAESTRO!B34="","",IFERROR('PROM (C. Naturales)'!BM34,""))</f>
        <v/>
      </c>
      <c r="H45" s="47" t="str">
        <f>IF(MAESTRO!B34="","",IFERROR('PROM (C. Naturales)'!CU34,""))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(C. Naturales)'!AE35,""))</f>
        <v/>
      </c>
      <c r="G46" s="47" t="str">
        <f>IF(MAESTRO!B35="","",IFERROR('PROM (C. Naturales)'!BM35,""))</f>
        <v/>
      </c>
      <c r="H46" s="47" t="str">
        <f>IF(MAESTRO!B35="","",IFERROR('PROM (C. Naturales)'!CU35,""))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(C. Naturales)'!AE36,""))</f>
        <v/>
      </c>
      <c r="G47" s="47" t="str">
        <f>IF(MAESTRO!B36="","",IFERROR('PROM (C. Naturales)'!BM36,""))</f>
        <v/>
      </c>
      <c r="H47" s="47" t="str">
        <f>IF(MAESTRO!B36="","",IFERROR('PROM (C. Naturales)'!CU36,""))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(C. Naturales)'!AE37,""))</f>
        <v/>
      </c>
      <c r="G48" s="47" t="str">
        <f>IF(MAESTRO!B37="","",IFERROR('PROM (C. Naturales)'!BM37,""))</f>
        <v/>
      </c>
      <c r="H48" s="47" t="str">
        <f>IF(MAESTRO!B37="","",IFERROR('PROM (C. Naturales)'!CU37,""))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(C. Naturales)'!AE38,""))</f>
        <v/>
      </c>
      <c r="G49" s="47" t="str">
        <f>IF(MAESTRO!B38="","",IFERROR('PROM (C. Naturales)'!BM38,""))</f>
        <v/>
      </c>
      <c r="H49" s="47" t="str">
        <f>IF(MAESTRO!B38="","",IFERROR('PROM (C. Naturales)'!CU38,""))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(C. Naturales)'!AE39,""))</f>
        <v/>
      </c>
      <c r="G50" s="47" t="str">
        <f>IF(MAESTRO!B39="","",IFERROR('PROM (C. Naturales)'!BM39,""))</f>
        <v/>
      </c>
      <c r="H50" s="47" t="str">
        <f>IF(MAESTRO!B39="","",IFERROR('PROM (C. Naturales)'!CU39,""))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(C. Naturales)'!AE40,""))</f>
        <v/>
      </c>
      <c r="G51" s="47" t="str">
        <f>IF(MAESTRO!B40="","",IFERROR('PROM (C. Naturales)'!BM40,""))</f>
        <v/>
      </c>
      <c r="H51" s="47" t="str">
        <f>IF(MAESTRO!B40="","",IFERROR('PROM (C. Naturales)'!CU40,""))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(C. Naturales)'!AE41,""))</f>
        <v/>
      </c>
      <c r="G52" s="47" t="str">
        <f>IF(MAESTRO!B41="","",IFERROR('PROM (C. Naturales)'!BM41,""))</f>
        <v/>
      </c>
      <c r="H52" s="47" t="str">
        <f>IF(MAESTRO!B41="","",IFERROR('PROM (C. Naturales)'!CU41,""))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(C. Naturales)'!AE42,""))</f>
        <v/>
      </c>
      <c r="G53" s="47" t="str">
        <f>IF(MAESTRO!B42="","",IFERROR('PROM (C. Naturales)'!BM42,""))</f>
        <v/>
      </c>
      <c r="H53" s="47" t="str">
        <f>IF(MAESTRO!B42="","",IFERROR('PROM (C. Naturales)'!CU42,""))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(C. Naturales)'!AE43,""))</f>
        <v/>
      </c>
      <c r="G54" s="47" t="str">
        <f>IF(MAESTRO!B43="","",IFERROR('PROM (C. Naturales)'!BM43,""))</f>
        <v/>
      </c>
      <c r="H54" s="47" t="str">
        <f>IF(MAESTRO!B43="","",IFERROR('PROM (C. Naturales)'!CU43,""))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(C. Naturales)'!AE44,""))</f>
        <v/>
      </c>
      <c r="G55" s="47" t="str">
        <f>IF(MAESTRO!B44="","",IFERROR('PROM (C. Naturales)'!BM44,""))</f>
        <v/>
      </c>
      <c r="H55" s="47" t="str">
        <f>IF(MAESTRO!B44="","",IFERROR('PROM (C. Naturales)'!CU44,""))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4E768-45A7-43F3-B7DF-2015895EC74B}">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11" priority="2" operator="lessThan">
      <formula>3</formula>
    </cfRule>
  </conditionalFormatting>
  <conditionalFormatting sqref="BM3:BM4">
    <cfRule type="cellIs" dxfId="10"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61614-9760-47CB-8971-1C1B6B54B3E9}">
  <sheetPr>
    <tabColor rgb="FF70A0D4"/>
  </sheetPr>
  <dimension ref="B3:Q56"/>
  <sheetViews>
    <sheetView view="pageLayout" topLeftCell="A36" zoomScale="70" zoomScaleNormal="100" zoomScalePageLayoutView="70" workbookViewId="0">
      <selection activeCell="E53" sqref="E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147</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(Religión)'!AE5,""))</f>
        <v/>
      </c>
      <c r="G16" s="47" t="str">
        <f>IF(MAESTRO!B5="","",IFERROR('PROM (Religión)'!BM5,""))</f>
        <v/>
      </c>
      <c r="H16" s="47" t="str">
        <f>IF(MAESTRO!B5="","",IFERROR('PROM (Religión)'!CU5,""))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(Religión)'!AE6,""))</f>
        <v/>
      </c>
      <c r="G17" s="47" t="str">
        <f>IF(MAESTRO!B6="","",IFERROR('PROM (Religión)'!BM6,""))</f>
        <v/>
      </c>
      <c r="H17" s="47" t="str">
        <f>IF(MAESTRO!B6="","",IFERROR('PROM (Religión)'!CU6,""))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(Religión)'!AE7,""))</f>
        <v/>
      </c>
      <c r="G18" s="47" t="str">
        <f>IF(MAESTRO!B7="","",IFERROR('PROM (Religión)'!BM7,""))</f>
        <v/>
      </c>
      <c r="H18" s="47" t="str">
        <f>IF(MAESTRO!B7="","",IFERROR('PROM (Religión)'!CU7,""))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(Religión)'!AE8,""))</f>
        <v/>
      </c>
      <c r="G19" s="47" t="str">
        <f>IF(MAESTRO!B8="","",IFERROR('PROM (Religión)'!BM8,""))</f>
        <v/>
      </c>
      <c r="H19" s="47" t="str">
        <f>IF(MAESTRO!B8="","",IFERROR('PROM (Religión)'!CU8,""))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(Religión)'!AE9,""))</f>
        <v/>
      </c>
      <c r="G20" s="47" t="str">
        <f>IF(MAESTRO!B9="","",IFERROR('PROM (Religión)'!BM9,""))</f>
        <v/>
      </c>
      <c r="H20" s="47" t="str">
        <f>IF(MAESTRO!B9="","",IFERROR('PROM (Religión)'!CU9,""))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(Religión)'!AE10,""))</f>
        <v/>
      </c>
      <c r="G21" s="47" t="str">
        <f>IF(MAESTRO!B10="","",IFERROR('PROM (Religión)'!BM10,""))</f>
        <v/>
      </c>
      <c r="H21" s="47" t="str">
        <f>IF(MAESTRO!B10="","",IFERROR('PROM (Religión)'!CU10,""))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(Religión)'!AE11,""))</f>
        <v/>
      </c>
      <c r="G22" s="47" t="str">
        <f>IF(MAESTRO!B11="","",IFERROR('PROM (Religión)'!BM11,""))</f>
        <v/>
      </c>
      <c r="H22" s="47" t="str">
        <f>IF(MAESTRO!B11="","",IFERROR('PROM (Religión)'!CU11,""))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(Religión)'!AE12,""))</f>
        <v/>
      </c>
      <c r="G23" s="47" t="str">
        <f>IF(MAESTRO!B12="","",IFERROR('PROM (Religión)'!BM12,""))</f>
        <v/>
      </c>
      <c r="H23" s="47" t="str">
        <f>IF(MAESTRO!B12="","",IFERROR('PROM (Religión)'!CU12,""))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(Religión)'!AE13,""))</f>
        <v/>
      </c>
      <c r="G24" s="47" t="str">
        <f>IF(MAESTRO!B13="","",IFERROR('PROM (Religión)'!BM13,""))</f>
        <v/>
      </c>
      <c r="H24" s="47" t="str">
        <f>IF(MAESTRO!B13="","",IFERROR('PROM (Religión)'!CU13,""))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(Religión)'!AE14,""))</f>
        <v/>
      </c>
      <c r="G25" s="47" t="str">
        <f>IF(MAESTRO!B14="","",IFERROR('PROM (Religión)'!BM14,""))</f>
        <v/>
      </c>
      <c r="H25" s="47" t="str">
        <f>IF(MAESTRO!B14="","",IFERROR('PROM (Religión)'!CU14,""))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(Religión)'!AE15,""))</f>
        <v/>
      </c>
      <c r="G26" s="47" t="str">
        <f>IF(MAESTRO!B15="","",IFERROR('PROM (Religión)'!BM15,""))</f>
        <v/>
      </c>
      <c r="H26" s="47" t="str">
        <f>IF(MAESTRO!B15="","",IFERROR('PROM (Religión)'!CU15,""))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(Religión)'!AE16,""))</f>
        <v/>
      </c>
      <c r="G27" s="47" t="str">
        <f>IF(MAESTRO!B16="","",IFERROR('PROM (Religión)'!BM16,""))</f>
        <v/>
      </c>
      <c r="H27" s="47" t="str">
        <f>IF(MAESTRO!B16="","",IFERROR('PROM (Religión)'!CU16,""))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(Religión)'!AE17,""))</f>
        <v/>
      </c>
      <c r="G28" s="47" t="str">
        <f>IF(MAESTRO!B17="","",IFERROR('PROM (Religión)'!BM17,""))</f>
        <v/>
      </c>
      <c r="H28" s="47" t="str">
        <f>IF(MAESTRO!B17="","",IFERROR('PROM (Religión)'!CU17,""))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(Religión)'!AE18,""))</f>
        <v/>
      </c>
      <c r="G29" s="47" t="str">
        <f>IF(MAESTRO!B18="","",IFERROR('PROM (Religión)'!BM18,""))</f>
        <v/>
      </c>
      <c r="H29" s="47" t="str">
        <f>IF(MAESTRO!B18="","",IFERROR('PROM (Religión)'!CU18,""))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(Religión)'!AE19,""))</f>
        <v/>
      </c>
      <c r="G30" s="47" t="str">
        <f>IF(MAESTRO!B19="","",IFERROR('PROM (Religión)'!BM19,""))</f>
        <v/>
      </c>
      <c r="H30" s="47" t="str">
        <f>IF(MAESTRO!B19="","",IFERROR('PROM (Religión)'!CU19,""))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(Religión)'!AE20,""))</f>
        <v/>
      </c>
      <c r="G31" s="47" t="str">
        <f>IF(MAESTRO!B20="","",IFERROR('PROM (Religión)'!BM20,""))</f>
        <v/>
      </c>
      <c r="H31" s="47" t="str">
        <f>IF(MAESTRO!B20="","",IFERROR('PROM (Religión)'!CU20,""))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(Religión)'!AE21,""))</f>
        <v/>
      </c>
      <c r="G32" s="47" t="str">
        <f>IF(MAESTRO!B21="","",IFERROR('PROM (Religión)'!BM21,""))</f>
        <v/>
      </c>
      <c r="H32" s="47" t="str">
        <f>IF(MAESTRO!B21="","",IFERROR('PROM (Religión)'!CU21,""))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(Religión)'!AE22,""))</f>
        <v/>
      </c>
      <c r="G33" s="47" t="str">
        <f>IF(MAESTRO!B22="","",IFERROR('PROM (Religión)'!BM22,""))</f>
        <v/>
      </c>
      <c r="H33" s="47" t="str">
        <f>IF(MAESTRO!B22="","",IFERROR('PROM (Religión)'!CU22,""))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(Religión)'!AE23,""))</f>
        <v/>
      </c>
      <c r="G34" s="47" t="str">
        <f>IF(MAESTRO!B23="","",IFERROR('PROM (Religión)'!BM23,""))</f>
        <v/>
      </c>
      <c r="H34" s="47" t="str">
        <f>IF(MAESTRO!B23="","",IFERROR('PROM (Religión)'!CU23,""))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(Religión)'!AE24,""))</f>
        <v/>
      </c>
      <c r="G35" s="47" t="str">
        <f>IF(MAESTRO!B24="","",IFERROR('PROM (Religión)'!BM24,""))</f>
        <v/>
      </c>
      <c r="H35" s="47" t="str">
        <f>IF(MAESTRO!B24="","",IFERROR('PROM (Religión)'!CU24,""))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(Religión)'!AE25,""))</f>
        <v/>
      </c>
      <c r="G36" s="47" t="str">
        <f>IF(MAESTRO!B25="","",IFERROR('PROM (Religión)'!BM25,""))</f>
        <v/>
      </c>
      <c r="H36" s="47" t="str">
        <f>IF(MAESTRO!B25="","",IFERROR('PROM (Religión)'!CU25,""))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(Religión)'!AE26,""))</f>
        <v/>
      </c>
      <c r="G37" s="47" t="str">
        <f>IF(MAESTRO!B26="","",IFERROR('PROM (Religión)'!BM26,""))</f>
        <v/>
      </c>
      <c r="H37" s="47" t="str">
        <f>IF(MAESTRO!B26="","",IFERROR('PROM (Religión)'!CU26,""))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(Religión)'!AE27,""))</f>
        <v/>
      </c>
      <c r="G38" s="47" t="str">
        <f>IF(MAESTRO!B27="","",IFERROR('PROM (Religión)'!BM27,""))</f>
        <v/>
      </c>
      <c r="H38" s="47" t="str">
        <f>IF(MAESTRO!B27="","",IFERROR('PROM (Religión)'!CU27,""))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(Religión)'!AE28,""))</f>
        <v/>
      </c>
      <c r="G39" s="47" t="str">
        <f>IF(MAESTRO!B28="","",IFERROR('PROM (Religión)'!BM28,""))</f>
        <v/>
      </c>
      <c r="H39" s="47" t="str">
        <f>IF(MAESTRO!B28="","",IFERROR('PROM (Religión)'!CU28,""))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(Religión)'!AE29,""))</f>
        <v/>
      </c>
      <c r="G40" s="47" t="str">
        <f>IF(MAESTRO!B29="","",IFERROR('PROM (Religión)'!BM29,""))</f>
        <v/>
      </c>
      <c r="H40" s="47" t="str">
        <f>IF(MAESTRO!B29="","",IFERROR('PROM (Religión)'!CU29,""))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(Religión)'!AE30,""))</f>
        <v/>
      </c>
      <c r="G41" s="47" t="str">
        <f>IF(MAESTRO!B30="","",IFERROR('PROM (Religión)'!BM30,""))</f>
        <v/>
      </c>
      <c r="H41" s="47" t="str">
        <f>IF(MAESTRO!B30="","",IFERROR('PROM (Religión)'!CU30,""))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(Religión)'!AE31,""))</f>
        <v/>
      </c>
      <c r="G42" s="47" t="str">
        <f>IF(MAESTRO!B31="","",IFERROR('PROM (Religión)'!BM31,""))</f>
        <v/>
      </c>
      <c r="H42" s="47" t="str">
        <f>IF(MAESTRO!B31="","",IFERROR('PROM (Religión)'!CU31,""))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(Religión)'!AE32,""))</f>
        <v/>
      </c>
      <c r="G43" s="47" t="str">
        <f>IF(MAESTRO!B32="","",IFERROR('PROM (Religión)'!BM32,""))</f>
        <v/>
      </c>
      <c r="H43" s="47" t="str">
        <f>IF(MAESTRO!B32="","",IFERROR('PROM (Religión)'!CU32,""))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(Religión)'!AE33,""))</f>
        <v/>
      </c>
      <c r="G44" s="47" t="str">
        <f>IF(MAESTRO!B33="","",IFERROR('PROM (Religión)'!BM33,""))</f>
        <v/>
      </c>
      <c r="H44" s="47" t="str">
        <f>IF(MAESTRO!B33="","",IFERROR('PROM (Religión)'!CU33,""))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(Religión)'!AE34,""))</f>
        <v/>
      </c>
      <c r="G45" s="47" t="str">
        <f>IF(MAESTRO!B34="","",IFERROR('PROM (Religión)'!BM34,""))</f>
        <v/>
      </c>
      <c r="H45" s="47" t="str">
        <f>IF(MAESTRO!B34="","",IFERROR('PROM (Religión)'!CU34,""))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(Religión)'!AE35,""))</f>
        <v/>
      </c>
      <c r="G46" s="47" t="str">
        <f>IF(MAESTRO!B35="","",IFERROR('PROM (Religión)'!BM35,""))</f>
        <v/>
      </c>
      <c r="H46" s="47" t="str">
        <f>IF(MAESTRO!B35="","",IFERROR('PROM (Religión)'!CU35,""))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(Religión)'!AE36,""))</f>
        <v/>
      </c>
      <c r="G47" s="47" t="str">
        <f>IF(MAESTRO!B36="","",IFERROR('PROM (Religión)'!BM36,""))</f>
        <v/>
      </c>
      <c r="H47" s="47" t="str">
        <f>IF(MAESTRO!B36="","",IFERROR('PROM (Religión)'!CU36,""))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(Religión)'!AE37,""))</f>
        <v/>
      </c>
      <c r="G48" s="47" t="str">
        <f>IF(MAESTRO!B37="","",IFERROR('PROM (Religión)'!BM37,""))</f>
        <v/>
      </c>
      <c r="H48" s="47" t="str">
        <f>IF(MAESTRO!B37="","",IFERROR('PROM (Religión)'!CU37,""))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(Religión)'!AE38,""))</f>
        <v/>
      </c>
      <c r="G49" s="47" t="str">
        <f>IF(MAESTRO!B38="","",IFERROR('PROM (Religión)'!BM38,""))</f>
        <v/>
      </c>
      <c r="H49" s="47" t="str">
        <f>IF(MAESTRO!B38="","",IFERROR('PROM (Religión)'!CU38,""))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(Religión)'!AE39,""))</f>
        <v/>
      </c>
      <c r="G50" s="47" t="str">
        <f>IF(MAESTRO!B39="","",IFERROR('PROM (Religión)'!BM39,""))</f>
        <v/>
      </c>
      <c r="H50" s="47" t="str">
        <f>IF(MAESTRO!B39="","",IFERROR('PROM (Religión)'!CU39,""))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(Religión)'!AE40,""))</f>
        <v/>
      </c>
      <c r="G51" s="47" t="str">
        <f>IF(MAESTRO!B40="","",IFERROR('PROM (Religión)'!BM40,""))</f>
        <v/>
      </c>
      <c r="H51" s="47" t="str">
        <f>IF(MAESTRO!B40="","",IFERROR('PROM (Religión)'!CU40,""))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(Religión)'!AE41,""))</f>
        <v/>
      </c>
      <c r="G52" s="47" t="str">
        <f>IF(MAESTRO!B41="","",IFERROR('PROM (Religión)'!BM41,""))</f>
        <v/>
      </c>
      <c r="H52" s="47" t="str">
        <f>IF(MAESTRO!B41="","",IFERROR('PROM (Religión)'!CU41,""))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(Religión)'!AE42,""))</f>
        <v/>
      </c>
      <c r="G53" s="47" t="str">
        <f>IF(MAESTRO!B42="","",IFERROR('PROM (Religión)'!BM42,""))</f>
        <v/>
      </c>
      <c r="H53" s="47" t="str">
        <f>IF(MAESTRO!B42="","",IFERROR('PROM (Religión)'!CU42,""))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(Religión)'!AE43,""))</f>
        <v/>
      </c>
      <c r="G54" s="47" t="str">
        <f>IF(MAESTRO!B43="","",IFERROR('PROM (Religión)'!BM43,""))</f>
        <v/>
      </c>
      <c r="H54" s="47" t="str">
        <f>IF(MAESTRO!B43="","",IFERROR('PROM (Religión)'!CU43,""))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(Religión)'!AE44,""))</f>
        <v/>
      </c>
      <c r="G55" s="47" t="str">
        <f>IF(MAESTRO!B44="","",IFERROR('PROM (Religión)'!BM44,""))</f>
        <v/>
      </c>
      <c r="H55" s="47" t="str">
        <f>IF(MAESTRO!B44="","",IFERROR('PROM (Religión)'!CU44,""))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9"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D82FF-F326-4296-A47E-074682825A99}">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8" priority="2" operator="lessThan">
      <formula>3</formula>
    </cfRule>
  </conditionalFormatting>
  <conditionalFormatting sqref="BM3:BM4">
    <cfRule type="cellIs" dxfId="7"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BBBBD-939B-4FEA-AC79-172FF898B9FF}">
  <sheetPr>
    <tabColor rgb="FF70A0D4"/>
  </sheetPr>
  <dimension ref="B3:Q56"/>
  <sheetViews>
    <sheetView view="pageLayout" topLeftCell="A36" zoomScale="70" zoomScaleNormal="100" zoomScalePageLayoutView="70" workbookViewId="0">
      <selection activeCell="J52" sqref="J52"/>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148</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(E. Artisticas)'!AE5,""))</f>
        <v/>
      </c>
      <c r="G16" s="47" t="str">
        <f>IF(MAESTRO!B5="","",IFERROR('PROM (E. Artisticas)'!BM5,""))</f>
        <v/>
      </c>
      <c r="H16" s="47" t="str">
        <f>IF(MAESTRO!B5="","",IFERROR('PROM (E. Artisticas)'!CU5,""))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 Artisticas)'!AE6,""))</f>
        <v/>
      </c>
      <c r="G17" s="47" t="str">
        <f>IF(MAESTRO!B6="","",IFERROR('PROM (E. Artisticas)'!BM6,""))</f>
        <v/>
      </c>
      <c r="H17" s="47" t="str">
        <f>IF(MAESTRO!B6="","",IFERROR('PROM (E. Artisticas)'!CU6,""))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 Artisticas)'!AE7,""))</f>
        <v/>
      </c>
      <c r="G18" s="47" t="str">
        <f>IF(MAESTRO!B7="","",IFERROR('PROM (E. Artisticas)'!BM7,""))</f>
        <v/>
      </c>
      <c r="H18" s="47" t="str">
        <f>IF(MAESTRO!B7="","",IFERROR('PROM (E. Artisticas)'!CU7,""))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 Artisticas)'!AE8,""))</f>
        <v/>
      </c>
      <c r="G19" s="47" t="str">
        <f>IF(MAESTRO!B8="","",IFERROR('PROM (E. Artisticas)'!BM8,""))</f>
        <v/>
      </c>
      <c r="H19" s="47" t="str">
        <f>IF(MAESTRO!B8="","",IFERROR('PROM (E. Artisticas)'!CU8,""))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 Artisticas)'!AE9,""))</f>
        <v/>
      </c>
      <c r="G20" s="47" t="str">
        <f>IF(MAESTRO!B9="","",IFERROR('PROM (E. Artisticas)'!BM9,""))</f>
        <v/>
      </c>
      <c r="H20" s="47" t="str">
        <f>IF(MAESTRO!B9="","",IFERROR('PROM (E. Artisticas)'!CU9,""))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 Artisticas)'!AE10,""))</f>
        <v/>
      </c>
      <c r="G21" s="47" t="str">
        <f>IF(MAESTRO!B10="","",IFERROR('PROM (E. Artisticas)'!BM10,""))</f>
        <v/>
      </c>
      <c r="H21" s="47" t="str">
        <f>IF(MAESTRO!B10="","",IFERROR('PROM (E. Artisticas)'!CU10,""))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 Artisticas)'!AE11,""))</f>
        <v/>
      </c>
      <c r="G22" s="47" t="str">
        <f>IF(MAESTRO!B11="","",IFERROR('PROM (E. Artisticas)'!BM11,""))</f>
        <v/>
      </c>
      <c r="H22" s="47" t="str">
        <f>IF(MAESTRO!B11="","",IFERROR('PROM (E. Artisticas)'!CU11,""))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 Artisticas)'!AE12,""))</f>
        <v/>
      </c>
      <c r="G23" s="47" t="str">
        <f>IF(MAESTRO!B12="","",IFERROR('PROM (E. Artisticas)'!BM12,""))</f>
        <v/>
      </c>
      <c r="H23" s="47" t="str">
        <f>IF(MAESTRO!B12="","",IFERROR('PROM (E. Artisticas)'!CU12,""))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 Artisticas)'!AE13,""))</f>
        <v/>
      </c>
      <c r="G24" s="47" t="str">
        <f>IF(MAESTRO!B13="","",IFERROR('PROM (E. Artisticas)'!BM13,""))</f>
        <v/>
      </c>
      <c r="H24" s="47" t="str">
        <f>IF(MAESTRO!B13="","",IFERROR('PROM (E. Artisticas)'!CU13,""))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 Artisticas)'!AE14,""))</f>
        <v/>
      </c>
      <c r="G25" s="47" t="str">
        <f>IF(MAESTRO!B14="","",IFERROR('PROM (E. Artisticas)'!BM14,""))</f>
        <v/>
      </c>
      <c r="H25" s="47" t="str">
        <f>IF(MAESTRO!B14="","",IFERROR('PROM (E. Artisticas)'!CU14,""))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 Artisticas)'!AE15,""))</f>
        <v/>
      </c>
      <c r="G26" s="47" t="str">
        <f>IF(MAESTRO!B15="","",IFERROR('PROM (E. Artisticas)'!BM15,""))</f>
        <v/>
      </c>
      <c r="H26" s="47" t="str">
        <f>IF(MAESTRO!B15="","",IFERROR('PROM (E. Artisticas)'!CU15,""))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 Artisticas)'!AE16,""))</f>
        <v/>
      </c>
      <c r="G27" s="47" t="str">
        <f>IF(MAESTRO!B16="","",IFERROR('PROM (E. Artisticas)'!BM16,""))</f>
        <v/>
      </c>
      <c r="H27" s="47" t="str">
        <f>IF(MAESTRO!B16="","",IFERROR('PROM (E. Artisticas)'!CU16,""))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 Artisticas)'!AE17,""))</f>
        <v/>
      </c>
      <c r="G28" s="47" t="str">
        <f>IF(MAESTRO!B17="","",IFERROR('PROM (E. Artisticas)'!BM17,""))</f>
        <v/>
      </c>
      <c r="H28" s="47" t="str">
        <f>IF(MAESTRO!B17="","",IFERROR('PROM (E. Artisticas)'!CU17,""))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 Artisticas)'!AE18,""))</f>
        <v/>
      </c>
      <c r="G29" s="47" t="str">
        <f>IF(MAESTRO!B18="","",IFERROR('PROM (E. Artisticas)'!BM18,""))</f>
        <v/>
      </c>
      <c r="H29" s="47" t="str">
        <f>IF(MAESTRO!B18="","",IFERROR('PROM (E. Artisticas)'!CU18,""))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 Artisticas)'!AE19,""))</f>
        <v/>
      </c>
      <c r="G30" s="47" t="str">
        <f>IF(MAESTRO!B19="","",IFERROR('PROM (E. Artisticas)'!BM19,""))</f>
        <v/>
      </c>
      <c r="H30" s="47" t="str">
        <f>IF(MAESTRO!B19="","",IFERROR('PROM (E. Artisticas)'!CU19,""))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 Artisticas)'!AE20,""))</f>
        <v/>
      </c>
      <c r="G31" s="47" t="str">
        <f>IF(MAESTRO!B20="","",IFERROR('PROM (E. Artisticas)'!BM20,""))</f>
        <v/>
      </c>
      <c r="H31" s="47" t="str">
        <f>IF(MAESTRO!B20="","",IFERROR('PROM (E. Artisticas)'!CU20,""))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 Artisticas)'!AE21,""))</f>
        <v/>
      </c>
      <c r="G32" s="47" t="str">
        <f>IF(MAESTRO!B21="","",IFERROR('PROM (E. Artisticas)'!BM21,""))</f>
        <v/>
      </c>
      <c r="H32" s="47" t="str">
        <f>IF(MAESTRO!B21="","",IFERROR('PROM (E. Artisticas)'!CU21,""))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 Artisticas)'!AE22,""))</f>
        <v/>
      </c>
      <c r="G33" s="47" t="str">
        <f>IF(MAESTRO!B22="","",IFERROR('PROM (E. Artisticas)'!BM22,""))</f>
        <v/>
      </c>
      <c r="H33" s="47" t="str">
        <f>IF(MAESTRO!B22="","",IFERROR('PROM (E. Artisticas)'!CU22,""))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 Artisticas)'!AE23,""))</f>
        <v/>
      </c>
      <c r="G34" s="47" t="str">
        <f>IF(MAESTRO!B23="","",IFERROR('PROM (E. Artisticas)'!BM23,""))</f>
        <v/>
      </c>
      <c r="H34" s="47" t="str">
        <f>IF(MAESTRO!B23="","",IFERROR('PROM (E. Artisticas)'!CU23,""))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 Artisticas)'!AE24,""))</f>
        <v/>
      </c>
      <c r="G35" s="47" t="str">
        <f>IF(MAESTRO!B24="","",IFERROR('PROM (E. Artisticas)'!BM24,""))</f>
        <v/>
      </c>
      <c r="H35" s="47" t="str">
        <f>IF(MAESTRO!B24="","",IFERROR('PROM (E. Artisticas)'!CU24,""))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 Artisticas)'!AE25,""))</f>
        <v/>
      </c>
      <c r="G36" s="47" t="str">
        <f>IF(MAESTRO!B25="","",IFERROR('PROM (E. Artisticas)'!BM25,""))</f>
        <v/>
      </c>
      <c r="H36" s="47" t="str">
        <f>IF(MAESTRO!B25="","",IFERROR('PROM (E. Artisticas)'!CU25,""))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 Artisticas)'!AE26,""))</f>
        <v/>
      </c>
      <c r="G37" s="47" t="str">
        <f>IF(MAESTRO!B26="","",IFERROR('PROM (E. Artisticas)'!BM26,""))</f>
        <v/>
      </c>
      <c r="H37" s="47" t="str">
        <f>IF(MAESTRO!B26="","",IFERROR('PROM (E. Artisticas)'!CU26,""))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 Artisticas)'!AE27,""))</f>
        <v/>
      </c>
      <c r="G38" s="47" t="str">
        <f>IF(MAESTRO!B27="","",IFERROR('PROM (E. Artisticas)'!BM27,""))</f>
        <v/>
      </c>
      <c r="H38" s="47" t="str">
        <f>IF(MAESTRO!B27="","",IFERROR('PROM (E. Artisticas)'!CU27,""))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 Artisticas)'!AE28,""))</f>
        <v/>
      </c>
      <c r="G39" s="47" t="str">
        <f>IF(MAESTRO!B28="","",IFERROR('PROM (E. Artisticas)'!BM28,""))</f>
        <v/>
      </c>
      <c r="H39" s="47" t="str">
        <f>IF(MAESTRO!B28="","",IFERROR('PROM (E. Artisticas)'!CU28,""))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 Artisticas)'!AE29,""))</f>
        <v/>
      </c>
      <c r="G40" s="47" t="str">
        <f>IF(MAESTRO!B29="","",IFERROR('PROM (E. Artisticas)'!BM29,""))</f>
        <v/>
      </c>
      <c r="H40" s="47" t="str">
        <f>IF(MAESTRO!B29="","",IFERROR('PROM (E. Artisticas)'!CU29,""))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 Artisticas)'!AE30,""))</f>
        <v/>
      </c>
      <c r="G41" s="47" t="str">
        <f>IF(MAESTRO!B30="","",IFERROR('PROM (E. Artisticas)'!BM30,""))</f>
        <v/>
      </c>
      <c r="H41" s="47" t="str">
        <f>IF(MAESTRO!B30="","",IFERROR('PROM (E. Artisticas)'!CU30,""))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 Artisticas)'!AE31,""))</f>
        <v/>
      </c>
      <c r="G42" s="47" t="str">
        <f>IF(MAESTRO!B31="","",IFERROR('PROM (E. Artisticas)'!BM31,""))</f>
        <v/>
      </c>
      <c r="H42" s="47" t="str">
        <f>IF(MAESTRO!B31="","",IFERROR('PROM (E. Artisticas)'!CU31,""))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 Artisticas)'!AE32,""))</f>
        <v/>
      </c>
      <c r="G43" s="47" t="str">
        <f>IF(MAESTRO!B32="","",IFERROR('PROM (E. Artisticas)'!BM32,""))</f>
        <v/>
      </c>
      <c r="H43" s="47" t="str">
        <f>IF(MAESTRO!B32="","",IFERROR('PROM (E. Artisticas)'!CU32,""))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 Artisticas)'!AE33,""))</f>
        <v/>
      </c>
      <c r="G44" s="47" t="str">
        <f>IF(MAESTRO!B33="","",IFERROR('PROM (E. Artisticas)'!BM33,""))</f>
        <v/>
      </c>
      <c r="H44" s="47" t="str">
        <f>IF(MAESTRO!B33="","",IFERROR('PROM (E. Artisticas)'!CU33,""))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 Artisticas)'!AE34,""))</f>
        <v/>
      </c>
      <c r="G45" s="47" t="str">
        <f>IF(MAESTRO!B34="","",IFERROR('PROM (E. Artisticas)'!BM34,""))</f>
        <v/>
      </c>
      <c r="H45" s="47" t="str">
        <f>IF(MAESTRO!B34="","",IFERROR('PROM (E. Artisticas)'!CU34,""))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 Artisticas)'!AE35,""))</f>
        <v/>
      </c>
      <c r="G46" s="47" t="str">
        <f>IF(MAESTRO!B35="","",IFERROR('PROM (E. Artisticas)'!BM35,""))</f>
        <v/>
      </c>
      <c r="H46" s="47" t="str">
        <f>IF(MAESTRO!B35="","",IFERROR('PROM (E. Artisticas)'!CU35,""))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 Artisticas)'!AE36,""))</f>
        <v/>
      </c>
      <c r="G47" s="47" t="str">
        <f>IF(MAESTRO!B36="","",IFERROR('PROM (E. Artisticas)'!BM36,""))</f>
        <v/>
      </c>
      <c r="H47" s="47" t="str">
        <f>IF(MAESTRO!B36="","",IFERROR('PROM (E. Artisticas)'!CU36,""))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 Artisticas)'!AE37,""))</f>
        <v/>
      </c>
      <c r="G48" s="47" t="str">
        <f>IF(MAESTRO!B37="","",IFERROR('PROM (E. Artisticas)'!BM37,""))</f>
        <v/>
      </c>
      <c r="H48" s="47" t="str">
        <f>IF(MAESTRO!B37="","",IFERROR('PROM (E. Artisticas)'!CU37,""))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 Artisticas)'!AE38,""))</f>
        <v/>
      </c>
      <c r="G49" s="47" t="str">
        <f>IF(MAESTRO!B38="","",IFERROR('PROM (E. Artisticas)'!BM38,""))</f>
        <v/>
      </c>
      <c r="H49" s="47" t="str">
        <f>IF(MAESTRO!B38="","",IFERROR('PROM (E. Artisticas)'!CU38,""))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 Artisticas)'!AE39,""))</f>
        <v/>
      </c>
      <c r="G50" s="47" t="str">
        <f>IF(MAESTRO!B39="","",IFERROR('PROM (E. Artisticas)'!BM39,""))</f>
        <v/>
      </c>
      <c r="H50" s="47" t="str">
        <f>IF(MAESTRO!B39="","",IFERROR('PROM (E. Artisticas)'!CU39,""))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 Artisticas)'!AE40,""))</f>
        <v/>
      </c>
      <c r="G51" s="47" t="str">
        <f>IF(MAESTRO!B40="","",IFERROR('PROM (E. Artisticas)'!BM40,""))</f>
        <v/>
      </c>
      <c r="H51" s="47" t="str">
        <f>IF(MAESTRO!B40="","",IFERROR('PROM (E. Artisticas)'!CU40,""))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 Artisticas)'!AE41,""))</f>
        <v/>
      </c>
      <c r="G52" s="47" t="str">
        <f>IF(MAESTRO!B41="","",IFERROR('PROM (E. Artisticas)'!BM41,""))</f>
        <v/>
      </c>
      <c r="H52" s="47" t="str">
        <f>IF(MAESTRO!B41="","",IFERROR('PROM (E. Artisticas)'!CU41,""))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 Artisticas)'!AE42,""))</f>
        <v/>
      </c>
      <c r="G53" s="47" t="str">
        <f>IF(MAESTRO!B42="","",IFERROR('PROM (E. Artisticas)'!BM42,""))</f>
        <v/>
      </c>
      <c r="H53" s="47" t="str">
        <f>IF(MAESTRO!B42="","",IFERROR('PROM (E. Artisticas)'!CU42,""))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 Artisticas)'!AE43,""))</f>
        <v/>
      </c>
      <c r="G54" s="47" t="str">
        <f>IF(MAESTRO!B43="","",IFERROR('PROM (E. Artisticas)'!BM43,""))</f>
        <v/>
      </c>
      <c r="H54" s="47" t="str">
        <f>IF(MAESTRO!B43="","",IFERROR('PROM (E. Artisticas)'!CU43,""))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 Artisticas)'!AE44,""))</f>
        <v/>
      </c>
      <c r="G55" s="47" t="str">
        <f>IF(MAESTRO!B44="","",IFERROR('PROM (E. Artisticas)'!BM44,""))</f>
        <v/>
      </c>
      <c r="H55" s="47" t="str">
        <f>IF(MAESTRO!B44="","",IFERROR('PROM (E. Artisticas)'!CU44,""))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C063-7742-4B9D-9A98-A879C2699710}">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5" priority="2" operator="lessThan">
      <formula>3</formula>
    </cfRule>
  </conditionalFormatting>
  <conditionalFormatting sqref="BM3:BM4">
    <cfRule type="cellIs" dxfId="4"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7DB0E-2F43-49BE-B8DE-A4B8612407B3}">
  <sheetPr>
    <tabColor rgb="FF70A0D4"/>
  </sheetPr>
  <dimension ref="B3:Q56"/>
  <sheetViews>
    <sheetView view="pageLayout" topLeftCell="A32" zoomScale="70" zoomScaleNormal="100" zoomScalePageLayoutView="70" workbookViewId="0">
      <selection activeCell="L52" sqref="L52"/>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149</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(Tecnologia)'!AE5,""))</f>
        <v/>
      </c>
      <c r="G16" s="47" t="str">
        <f>IF(MAESTRO!B5="","",IFERROR('PROM (Tecnologia)'!BM5,""))</f>
        <v/>
      </c>
      <c r="H16" s="47" t="str">
        <f>IF(MAESTRO!B5="","",IFERROR('PROM (Tecnologia)'!CU5,""))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(Tecnologia)'!AE6,""))</f>
        <v/>
      </c>
      <c r="G17" s="47" t="str">
        <f>IF(MAESTRO!B6="","",IFERROR('PROM (Tecnologia)'!BM6,""))</f>
        <v/>
      </c>
      <c r="H17" s="47" t="str">
        <f>IF(MAESTRO!B6="","",IFERROR('PROM (Tecnologia)'!CU6,""))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(Tecnologia)'!AE7,""))</f>
        <v/>
      </c>
      <c r="G18" s="47" t="str">
        <f>IF(MAESTRO!B7="","",IFERROR('PROM (Tecnologia)'!BM7,""))</f>
        <v/>
      </c>
      <c r="H18" s="47" t="str">
        <f>IF(MAESTRO!B7="","",IFERROR('PROM (Tecnologia)'!CU7,""))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(Tecnologia)'!AE8,""))</f>
        <v/>
      </c>
      <c r="G19" s="47" t="str">
        <f>IF(MAESTRO!B8="","",IFERROR('PROM (Tecnologia)'!BM8,""))</f>
        <v/>
      </c>
      <c r="H19" s="47" t="str">
        <f>IF(MAESTRO!B8="","",IFERROR('PROM (Tecnologia)'!CU8,""))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(Tecnologia)'!AE9,""))</f>
        <v/>
      </c>
      <c r="G20" s="47" t="str">
        <f>IF(MAESTRO!B9="","",IFERROR('PROM (Tecnologia)'!BM9,""))</f>
        <v/>
      </c>
      <c r="H20" s="47" t="str">
        <f>IF(MAESTRO!B9="","",IFERROR('PROM (Tecnologia)'!CU9,""))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(Tecnologia)'!AE10,""))</f>
        <v/>
      </c>
      <c r="G21" s="47" t="str">
        <f>IF(MAESTRO!B10="","",IFERROR('PROM (Tecnologia)'!BM10,""))</f>
        <v/>
      </c>
      <c r="H21" s="47" t="str">
        <f>IF(MAESTRO!B10="","",IFERROR('PROM (Tecnologia)'!CU10,""))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(Tecnologia)'!AE11,""))</f>
        <v/>
      </c>
      <c r="G22" s="47" t="str">
        <f>IF(MAESTRO!B11="","",IFERROR('PROM (Tecnologia)'!BM11,""))</f>
        <v/>
      </c>
      <c r="H22" s="47" t="str">
        <f>IF(MAESTRO!B11="","",IFERROR('PROM (Tecnologia)'!CU11,""))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(Tecnologia)'!AE12,""))</f>
        <v/>
      </c>
      <c r="G23" s="47" t="str">
        <f>IF(MAESTRO!B12="","",IFERROR('PROM (Tecnologia)'!BM12,""))</f>
        <v/>
      </c>
      <c r="H23" s="47" t="str">
        <f>IF(MAESTRO!B12="","",IFERROR('PROM (Tecnologia)'!CU12,""))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(Tecnologia)'!AE13,""))</f>
        <v/>
      </c>
      <c r="G24" s="47" t="str">
        <f>IF(MAESTRO!B13="","",IFERROR('PROM (Tecnologia)'!BM13,""))</f>
        <v/>
      </c>
      <c r="H24" s="47" t="str">
        <f>IF(MAESTRO!B13="","",IFERROR('PROM (Tecnologia)'!CU13,""))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(Tecnologia)'!AE14,""))</f>
        <v/>
      </c>
      <c r="G25" s="47" t="str">
        <f>IF(MAESTRO!B14="","",IFERROR('PROM (Tecnologia)'!BM14,""))</f>
        <v/>
      </c>
      <c r="H25" s="47" t="str">
        <f>IF(MAESTRO!B14="","",IFERROR('PROM (Tecnologia)'!CU14,""))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(Tecnologia)'!AE15,""))</f>
        <v/>
      </c>
      <c r="G26" s="47" t="str">
        <f>IF(MAESTRO!B15="","",IFERROR('PROM (Tecnologia)'!BM15,""))</f>
        <v/>
      </c>
      <c r="H26" s="47" t="str">
        <f>IF(MAESTRO!B15="","",IFERROR('PROM (Tecnologia)'!CU15,""))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(Tecnologia)'!AE16,""))</f>
        <v/>
      </c>
      <c r="G27" s="47" t="str">
        <f>IF(MAESTRO!B16="","",IFERROR('PROM (Tecnologia)'!BM16,""))</f>
        <v/>
      </c>
      <c r="H27" s="47" t="str">
        <f>IF(MAESTRO!B16="","",IFERROR('PROM (Tecnologia)'!CU16,""))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(Tecnologia)'!AE17,""))</f>
        <v/>
      </c>
      <c r="G28" s="47" t="str">
        <f>IF(MAESTRO!B17="","",IFERROR('PROM (Tecnologia)'!BM17,""))</f>
        <v/>
      </c>
      <c r="H28" s="47" t="str">
        <f>IF(MAESTRO!B17="","",IFERROR('PROM (Tecnologia)'!CU17,""))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(Tecnologia)'!AE18,""))</f>
        <v/>
      </c>
      <c r="G29" s="47" t="str">
        <f>IF(MAESTRO!B18="","",IFERROR('PROM (Tecnologia)'!BM18,""))</f>
        <v/>
      </c>
      <c r="H29" s="47" t="str">
        <f>IF(MAESTRO!B18="","",IFERROR('PROM (Tecnologia)'!CU18,""))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(Tecnologia)'!AE19,""))</f>
        <v/>
      </c>
      <c r="G30" s="47" t="str">
        <f>IF(MAESTRO!B19="","",IFERROR('PROM (Tecnologia)'!BM19,""))</f>
        <v/>
      </c>
      <c r="H30" s="47" t="str">
        <f>IF(MAESTRO!B19="","",IFERROR('PROM (Tecnologia)'!CU19,""))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(Tecnologia)'!AE20,""))</f>
        <v/>
      </c>
      <c r="G31" s="47" t="str">
        <f>IF(MAESTRO!B20="","",IFERROR('PROM (Tecnologia)'!BM20,""))</f>
        <v/>
      </c>
      <c r="H31" s="47" t="str">
        <f>IF(MAESTRO!B20="","",IFERROR('PROM (Tecnologia)'!CU20,""))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(Tecnologia)'!AE21,""))</f>
        <v/>
      </c>
      <c r="G32" s="47" t="str">
        <f>IF(MAESTRO!B21="","",IFERROR('PROM (Tecnologia)'!BM21,""))</f>
        <v/>
      </c>
      <c r="H32" s="47" t="str">
        <f>IF(MAESTRO!B21="","",IFERROR('PROM (Tecnologia)'!CU21,""))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(Tecnologia)'!AE22,""))</f>
        <v/>
      </c>
      <c r="G33" s="47" t="str">
        <f>IF(MAESTRO!B22="","",IFERROR('PROM (Tecnologia)'!BM22,""))</f>
        <v/>
      </c>
      <c r="H33" s="47" t="str">
        <f>IF(MAESTRO!B22="","",IFERROR('PROM (Tecnologia)'!CU22,""))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(Tecnologia)'!AE23,""))</f>
        <v/>
      </c>
      <c r="G34" s="47" t="str">
        <f>IF(MAESTRO!B23="","",IFERROR('PROM (Tecnologia)'!BM23,""))</f>
        <v/>
      </c>
      <c r="H34" s="47" t="str">
        <f>IF(MAESTRO!B23="","",IFERROR('PROM (Tecnologia)'!CU23,""))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(Tecnologia)'!AE24,""))</f>
        <v/>
      </c>
      <c r="G35" s="47" t="str">
        <f>IF(MAESTRO!B24="","",IFERROR('PROM (Tecnologia)'!BM24,""))</f>
        <v/>
      </c>
      <c r="H35" s="47" t="str">
        <f>IF(MAESTRO!B24="","",IFERROR('PROM (Tecnologia)'!CU24,""))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(Tecnologia)'!AE25,""))</f>
        <v/>
      </c>
      <c r="G36" s="47" t="str">
        <f>IF(MAESTRO!B25="","",IFERROR('PROM (Tecnologia)'!BM25,""))</f>
        <v/>
      </c>
      <c r="H36" s="47" t="str">
        <f>IF(MAESTRO!B25="","",IFERROR('PROM (Tecnologia)'!CU25,""))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(Tecnologia)'!AE26,""))</f>
        <v/>
      </c>
      <c r="G37" s="47" t="str">
        <f>IF(MAESTRO!B26="","",IFERROR('PROM (Tecnologia)'!BM26,""))</f>
        <v/>
      </c>
      <c r="H37" s="47" t="str">
        <f>IF(MAESTRO!B26="","",IFERROR('PROM (Tecnologia)'!CU26,""))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(Tecnologia)'!AE27,""))</f>
        <v/>
      </c>
      <c r="G38" s="47" t="str">
        <f>IF(MAESTRO!B27="","",IFERROR('PROM (Tecnologia)'!BM27,""))</f>
        <v/>
      </c>
      <c r="H38" s="47" t="str">
        <f>IF(MAESTRO!B27="","",IFERROR('PROM (Tecnologia)'!CU27,""))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(Tecnologia)'!AE28,""))</f>
        <v/>
      </c>
      <c r="G39" s="47" t="str">
        <f>IF(MAESTRO!B28="","",IFERROR('PROM (Tecnologia)'!BM28,""))</f>
        <v/>
      </c>
      <c r="H39" s="47" t="str">
        <f>IF(MAESTRO!B28="","",IFERROR('PROM (Tecnologia)'!CU28,""))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(Tecnologia)'!AE29,""))</f>
        <v/>
      </c>
      <c r="G40" s="47" t="str">
        <f>IF(MAESTRO!B29="","",IFERROR('PROM (Tecnologia)'!BM29,""))</f>
        <v/>
      </c>
      <c r="H40" s="47" t="str">
        <f>IF(MAESTRO!B29="","",IFERROR('PROM (Tecnologia)'!CU29,""))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(Tecnologia)'!AE30,""))</f>
        <v/>
      </c>
      <c r="G41" s="47" t="str">
        <f>IF(MAESTRO!B30="","",IFERROR('PROM (Tecnologia)'!BM30,""))</f>
        <v/>
      </c>
      <c r="H41" s="47" t="str">
        <f>IF(MAESTRO!B30="","",IFERROR('PROM (Tecnologia)'!CU30,""))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(Tecnologia)'!AE31,""))</f>
        <v/>
      </c>
      <c r="G42" s="47" t="str">
        <f>IF(MAESTRO!B31="","",IFERROR('PROM (Tecnologia)'!BM31,""))</f>
        <v/>
      </c>
      <c r="H42" s="47" t="str">
        <f>IF(MAESTRO!B31="","",IFERROR('PROM (Tecnologia)'!CU31,""))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(Tecnologia)'!AE32,""))</f>
        <v/>
      </c>
      <c r="G43" s="47" t="str">
        <f>IF(MAESTRO!B32="","",IFERROR('PROM (Tecnologia)'!BM32,""))</f>
        <v/>
      </c>
      <c r="H43" s="47" t="str">
        <f>IF(MAESTRO!B32="","",IFERROR('PROM (Tecnologia)'!CU32,""))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(Tecnologia)'!AE33,""))</f>
        <v/>
      </c>
      <c r="G44" s="47" t="str">
        <f>IF(MAESTRO!B33="","",IFERROR('PROM (Tecnologia)'!BM33,""))</f>
        <v/>
      </c>
      <c r="H44" s="47" t="str">
        <f>IF(MAESTRO!B33="","",IFERROR('PROM (Tecnologia)'!CU33,""))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(Tecnologia)'!AE34,""))</f>
        <v/>
      </c>
      <c r="G45" s="47" t="str">
        <f>IF(MAESTRO!B34="","",IFERROR('PROM (Tecnologia)'!BM34,""))</f>
        <v/>
      </c>
      <c r="H45" s="47" t="str">
        <f>IF(MAESTRO!B34="","",IFERROR('PROM (Tecnologia)'!CU34,""))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(Tecnologia)'!AE35,""))</f>
        <v/>
      </c>
      <c r="G46" s="47" t="str">
        <f>IF(MAESTRO!B35="","",IFERROR('PROM (Tecnologia)'!BM35,""))</f>
        <v/>
      </c>
      <c r="H46" s="47" t="str">
        <f>IF(MAESTRO!B35="","",IFERROR('PROM (Tecnologia)'!CU35,""))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(Tecnologia)'!AE36,""))</f>
        <v/>
      </c>
      <c r="G47" s="47" t="str">
        <f>IF(MAESTRO!B36="","",IFERROR('PROM (Tecnologia)'!BM36,""))</f>
        <v/>
      </c>
      <c r="H47" s="47" t="str">
        <f>IF(MAESTRO!B36="","",IFERROR('PROM (Tecnologia)'!CU36,""))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(Tecnologia)'!AE37,""))</f>
        <v/>
      </c>
      <c r="G48" s="47" t="str">
        <f>IF(MAESTRO!B37="","",IFERROR('PROM (Tecnologia)'!BM37,""))</f>
        <v/>
      </c>
      <c r="H48" s="47" t="str">
        <f>IF(MAESTRO!B37="","",IFERROR('PROM (Tecnologia)'!CU37,""))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(Tecnologia)'!AE38,""))</f>
        <v/>
      </c>
      <c r="G49" s="47" t="str">
        <f>IF(MAESTRO!B38="","",IFERROR('PROM (Tecnologia)'!BM38,""))</f>
        <v/>
      </c>
      <c r="H49" s="47" t="str">
        <f>IF(MAESTRO!B38="","",IFERROR('PROM (Tecnologia)'!CU38,""))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(Tecnologia)'!AE39,""))</f>
        <v/>
      </c>
      <c r="G50" s="47" t="str">
        <f>IF(MAESTRO!B39="","",IFERROR('PROM (Tecnologia)'!BM39,""))</f>
        <v/>
      </c>
      <c r="H50" s="47" t="str">
        <f>IF(MAESTRO!B39="","",IFERROR('PROM (Tecnologia)'!CU39,""))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(Tecnologia)'!AE40,""))</f>
        <v/>
      </c>
      <c r="G51" s="47" t="str">
        <f>IF(MAESTRO!B40="","",IFERROR('PROM (Tecnologia)'!BM40,""))</f>
        <v/>
      </c>
      <c r="H51" s="47" t="str">
        <f>IF(MAESTRO!B40="","",IFERROR('PROM (Tecnologia)'!CU40,""))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(Tecnologia)'!AE41,""))</f>
        <v/>
      </c>
      <c r="G52" s="47" t="str">
        <f>IF(MAESTRO!B41="","",IFERROR('PROM (Tecnologia)'!BM41,""))</f>
        <v/>
      </c>
      <c r="H52" s="47" t="str">
        <f>IF(MAESTRO!B41="","",IFERROR('PROM (Tecnologia)'!CU41,""))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(Tecnologia)'!AE42,""))</f>
        <v/>
      </c>
      <c r="G53" s="47" t="str">
        <f>IF(MAESTRO!B42="","",IFERROR('PROM (Tecnologia)'!BM42,""))</f>
        <v/>
      </c>
      <c r="H53" s="47" t="str">
        <f>IF(MAESTRO!B42="","",IFERROR('PROM (Tecnologia)'!CU42,""))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(Tecnologia)'!AE43,""))</f>
        <v/>
      </c>
      <c r="G54" s="47" t="str">
        <f>IF(MAESTRO!B43="","",IFERROR('PROM (Tecnologia)'!BM43,""))</f>
        <v/>
      </c>
      <c r="H54" s="47" t="str">
        <f>IF(MAESTRO!B43="","",IFERROR('PROM (Tecnologia)'!CU43,""))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(Tecnologia)'!AE44,""))</f>
        <v/>
      </c>
      <c r="G55" s="47" t="str">
        <f>IF(MAESTRO!B44="","",IFERROR('PROM (Tecnologia)'!BM44,""))</f>
        <v/>
      </c>
      <c r="H55" s="47" t="str">
        <f>IF(MAESTRO!B44="","",IFERROR('PROM (Tecnologia)'!CU44,""))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3"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79F58-558D-4B63-9A93-54541EEDEF81}">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49" t="s">
        <v>117</v>
      </c>
      <c r="B1" s="116"/>
      <c r="C1" s="116"/>
      <c r="D1" s="116"/>
      <c r="E1" s="116"/>
      <c r="F1" s="116"/>
      <c r="G1" s="116"/>
      <c r="H1" s="116"/>
      <c r="I1" s="116"/>
      <c r="J1" s="116"/>
      <c r="K1" s="116"/>
      <c r="L1" s="116"/>
      <c r="M1" s="116"/>
      <c r="N1" s="116"/>
      <c r="O1" s="116"/>
      <c r="P1" s="117"/>
      <c r="Q1" s="37"/>
      <c r="R1" s="177" t="s">
        <v>117</v>
      </c>
      <c r="S1" s="116"/>
      <c r="T1" s="116"/>
      <c r="U1" s="116"/>
      <c r="V1" s="116"/>
      <c r="W1" s="116"/>
      <c r="X1" s="116"/>
      <c r="Y1" s="116"/>
      <c r="Z1" s="116"/>
      <c r="AA1" s="116"/>
      <c r="AB1" s="116"/>
      <c r="AC1" s="116"/>
      <c r="AD1" s="116"/>
      <c r="AE1" s="116"/>
      <c r="AF1" s="116"/>
      <c r="AG1" s="117"/>
      <c r="AH1" s="149" t="s">
        <v>118</v>
      </c>
      <c r="AI1" s="116"/>
      <c r="AJ1" s="116"/>
      <c r="AK1" s="116"/>
      <c r="AL1" s="116"/>
      <c r="AM1" s="116"/>
      <c r="AN1" s="116"/>
      <c r="AO1" s="116"/>
      <c r="AP1" s="116"/>
      <c r="AQ1" s="116"/>
      <c r="AR1" s="116"/>
      <c r="AS1" s="116"/>
      <c r="AT1" s="116"/>
      <c r="AU1" s="116"/>
      <c r="AV1" s="116"/>
      <c r="AW1" s="116"/>
      <c r="AX1" s="117"/>
      <c r="AY1" s="177" t="s">
        <v>118</v>
      </c>
      <c r="AZ1" s="116"/>
      <c r="BA1" s="116"/>
      <c r="BB1" s="116"/>
      <c r="BC1" s="116"/>
      <c r="BD1" s="116"/>
      <c r="BE1" s="116"/>
      <c r="BF1" s="116"/>
      <c r="BG1" s="116"/>
      <c r="BH1" s="116"/>
      <c r="BI1" s="116"/>
      <c r="BJ1" s="116"/>
      <c r="BK1" s="116"/>
      <c r="BL1" s="116"/>
      <c r="BM1" s="116"/>
      <c r="BN1" s="116"/>
      <c r="BO1" s="117"/>
      <c r="BP1" s="149" t="s">
        <v>119</v>
      </c>
      <c r="BQ1" s="116"/>
      <c r="BR1" s="116"/>
      <c r="BS1" s="116"/>
      <c r="BT1" s="116"/>
      <c r="BU1" s="116"/>
      <c r="BV1" s="116"/>
      <c r="BW1" s="116"/>
      <c r="BX1" s="116"/>
      <c r="BY1" s="116"/>
      <c r="BZ1" s="116"/>
      <c r="CA1" s="116"/>
      <c r="CB1" s="116"/>
      <c r="CC1" s="116"/>
      <c r="CD1" s="116"/>
      <c r="CE1" s="116"/>
      <c r="CF1" s="117"/>
      <c r="CG1" s="177" t="s">
        <v>120</v>
      </c>
      <c r="CH1" s="116"/>
      <c r="CI1" s="116"/>
      <c r="CJ1" s="116"/>
      <c r="CK1" s="116"/>
      <c r="CL1" s="116"/>
      <c r="CM1" s="116"/>
      <c r="CN1" s="116"/>
      <c r="CO1" s="116"/>
      <c r="CP1" s="116"/>
      <c r="CQ1" s="116"/>
      <c r="CR1" s="116"/>
      <c r="CS1" s="116"/>
      <c r="CT1" s="116"/>
      <c r="CU1" s="116"/>
      <c r="CV1" s="116"/>
      <c r="CW1" s="117"/>
      <c r="CX1" s="169"/>
      <c r="CY1" s="107"/>
      <c r="CZ1" s="107"/>
      <c r="DA1" s="107"/>
      <c r="DB1" s="107"/>
      <c r="DC1" s="107"/>
      <c r="DD1" s="107"/>
      <c r="DE1" s="107"/>
      <c r="DF1" s="107"/>
      <c r="DG1" s="107"/>
      <c r="DH1" s="107"/>
      <c r="DI1" s="107"/>
      <c r="DJ1" s="107"/>
      <c r="DK1" s="107"/>
      <c r="DL1" s="107"/>
      <c r="DM1" s="107"/>
      <c r="DN1" s="107"/>
      <c r="DO1" s="159"/>
      <c r="DP1" s="107"/>
      <c r="DQ1" s="107"/>
      <c r="DR1" s="107"/>
      <c r="DS1" s="107"/>
      <c r="DT1" s="107"/>
      <c r="DU1" s="107"/>
      <c r="DV1" s="107"/>
      <c r="DW1" s="107"/>
      <c r="DX1" s="107"/>
      <c r="DY1" s="107"/>
      <c r="DZ1" s="107"/>
      <c r="EA1" s="107"/>
      <c r="EB1" s="107"/>
      <c r="EC1" s="107"/>
      <c r="ED1" s="107"/>
      <c r="EE1" s="107"/>
    </row>
    <row r="2" spans="1:135" ht="6" customHeight="1">
      <c r="A2" s="181"/>
      <c r="B2" s="107"/>
      <c r="C2" s="107"/>
      <c r="D2" s="107"/>
      <c r="E2" s="107"/>
      <c r="F2" s="107"/>
      <c r="G2" s="107"/>
      <c r="H2" s="107"/>
      <c r="I2" s="107"/>
      <c r="J2" s="107"/>
      <c r="K2" s="107"/>
      <c r="L2" s="107"/>
      <c r="M2" s="107"/>
      <c r="N2" s="107"/>
      <c r="O2" s="107"/>
      <c r="P2" s="107"/>
      <c r="Q2" s="25"/>
      <c r="R2" s="148"/>
      <c r="S2" s="107"/>
      <c r="T2" s="107"/>
      <c r="U2" s="107"/>
      <c r="V2" s="107"/>
      <c r="W2" s="107"/>
      <c r="X2" s="107"/>
      <c r="Y2" s="107"/>
      <c r="Z2" s="107"/>
      <c r="AA2" s="107"/>
      <c r="AB2" s="107"/>
      <c r="AC2" s="185"/>
      <c r="AD2" s="107"/>
      <c r="AE2" s="107"/>
      <c r="AF2" s="107"/>
      <c r="AG2" s="107"/>
      <c r="AH2" s="181"/>
      <c r="AI2" s="107"/>
      <c r="AJ2" s="107"/>
      <c r="AK2" s="182"/>
      <c r="AL2" s="182"/>
      <c r="AM2" s="182"/>
      <c r="AN2" s="182"/>
      <c r="AO2" s="182"/>
      <c r="AP2" s="182"/>
      <c r="AQ2" s="182"/>
      <c r="AR2" s="182"/>
      <c r="AS2" s="183"/>
      <c r="AT2" s="183"/>
      <c r="AU2" s="183"/>
      <c r="AV2" s="183"/>
      <c r="AW2" s="183"/>
      <c r="AX2" s="107"/>
      <c r="AY2" s="148"/>
      <c r="AZ2" s="167"/>
      <c r="BA2" s="167"/>
      <c r="BB2" s="167"/>
      <c r="BC2" s="167"/>
      <c r="BD2" s="167"/>
      <c r="BE2" s="167"/>
      <c r="BF2" s="167"/>
      <c r="BG2" s="167"/>
      <c r="BH2" s="167"/>
      <c r="BI2" s="107"/>
      <c r="BJ2" s="107"/>
      <c r="BK2" s="168"/>
      <c r="BL2" s="107"/>
      <c r="BM2" s="107"/>
      <c r="BN2" s="107"/>
      <c r="BO2" s="107"/>
      <c r="BP2" s="181"/>
      <c r="BQ2" s="107"/>
      <c r="BR2" s="107"/>
      <c r="BS2" s="179"/>
      <c r="BT2" s="179"/>
      <c r="BU2" s="179"/>
      <c r="BV2" s="179"/>
      <c r="BW2" s="179"/>
      <c r="BX2" s="179"/>
      <c r="BY2" s="179"/>
      <c r="BZ2" s="179"/>
      <c r="CA2" s="179"/>
      <c r="CB2" s="179"/>
      <c r="CC2" s="179"/>
      <c r="CD2" s="179"/>
      <c r="CE2" s="179"/>
      <c r="CF2" s="107"/>
      <c r="CG2" s="148"/>
      <c r="CH2" s="179"/>
      <c r="CI2" s="179"/>
      <c r="CJ2" s="179"/>
      <c r="CK2" s="179"/>
      <c r="CL2" s="179"/>
      <c r="CM2" s="179"/>
      <c r="CN2" s="179"/>
      <c r="CO2" s="179"/>
      <c r="CP2" s="179"/>
      <c r="CQ2" s="179"/>
      <c r="CR2" s="179"/>
      <c r="CS2" s="179"/>
      <c r="CT2" s="179"/>
      <c r="CU2" s="179"/>
      <c r="CV2" s="107"/>
      <c r="CW2" s="107"/>
      <c r="CX2" s="181"/>
      <c r="CY2" s="107"/>
      <c r="CZ2" s="107"/>
      <c r="DA2" s="107"/>
      <c r="DB2" s="107"/>
      <c r="DC2" s="107"/>
      <c r="DD2" s="107"/>
      <c r="DE2" s="107"/>
      <c r="DF2" s="107"/>
      <c r="DG2" s="107"/>
      <c r="DH2" s="107"/>
      <c r="DI2" s="107"/>
      <c r="DJ2" s="107"/>
      <c r="DK2" s="107"/>
      <c r="DL2" s="107"/>
      <c r="DM2" s="107"/>
      <c r="DN2" s="107"/>
      <c r="DO2" s="148"/>
      <c r="DP2" s="107"/>
      <c r="DQ2" s="107"/>
      <c r="DR2" s="107"/>
      <c r="DS2" s="107"/>
      <c r="DT2" s="107"/>
      <c r="DU2" s="107"/>
      <c r="DV2" s="107"/>
      <c r="DW2" s="107"/>
      <c r="DX2" s="107"/>
      <c r="DY2" s="107"/>
      <c r="DZ2" s="107"/>
      <c r="EA2" s="107"/>
      <c r="EB2" s="107"/>
      <c r="EC2" s="107"/>
      <c r="ED2" s="107"/>
      <c r="EE2" s="107"/>
    </row>
    <row r="3" spans="1:135" ht="15" customHeight="1">
      <c r="A3" s="152"/>
      <c r="B3" s="149" t="s">
        <v>0</v>
      </c>
      <c r="C3" s="187" t="s">
        <v>141</v>
      </c>
      <c r="D3" s="188"/>
      <c r="E3" s="188"/>
      <c r="F3" s="188"/>
      <c r="G3" s="188"/>
      <c r="H3" s="188"/>
      <c r="I3" s="188"/>
      <c r="J3" s="188"/>
      <c r="K3" s="188"/>
      <c r="L3" s="188"/>
      <c r="M3" s="188"/>
      <c r="N3" s="188"/>
      <c r="O3" s="188"/>
      <c r="P3" s="188"/>
      <c r="Q3" s="188"/>
      <c r="R3" s="188" t="s">
        <v>142</v>
      </c>
      <c r="S3" s="188"/>
      <c r="T3" s="188"/>
      <c r="U3" s="188"/>
      <c r="V3" s="188"/>
      <c r="W3" s="188"/>
      <c r="X3" s="188"/>
      <c r="Y3" s="188"/>
      <c r="Z3" s="188"/>
      <c r="AA3" s="188"/>
      <c r="AB3" s="188"/>
      <c r="AC3" s="188"/>
      <c r="AD3" s="189"/>
      <c r="AE3" s="171" t="s">
        <v>122</v>
      </c>
      <c r="AF3" s="127" t="s">
        <v>3</v>
      </c>
      <c r="AG3" s="124"/>
      <c r="AH3" s="152"/>
      <c r="AI3" s="149" t="s">
        <v>0</v>
      </c>
      <c r="AJ3" s="124"/>
      <c r="AK3" s="187" t="s">
        <v>142</v>
      </c>
      <c r="AL3" s="188"/>
      <c r="AM3" s="188"/>
      <c r="AN3" s="188"/>
      <c r="AO3" s="188"/>
      <c r="AP3" s="188"/>
      <c r="AQ3" s="188"/>
      <c r="AR3" s="188"/>
      <c r="AS3" s="188"/>
      <c r="AT3" s="188"/>
      <c r="AU3" s="188"/>
      <c r="AV3" s="188"/>
      <c r="AW3" s="188"/>
      <c r="AX3" s="188"/>
      <c r="AY3" s="188" t="s">
        <v>142</v>
      </c>
      <c r="AZ3" s="188"/>
      <c r="BA3" s="188"/>
      <c r="BB3" s="188"/>
      <c r="BC3" s="188"/>
      <c r="BD3" s="188"/>
      <c r="BE3" s="188"/>
      <c r="BF3" s="188"/>
      <c r="BG3" s="188"/>
      <c r="BH3" s="188"/>
      <c r="BI3" s="188"/>
      <c r="BJ3" s="188"/>
      <c r="BK3" s="188"/>
      <c r="BL3" s="189"/>
      <c r="BM3" s="171" t="s">
        <v>121</v>
      </c>
      <c r="BN3" s="127" t="s">
        <v>3</v>
      </c>
      <c r="BO3" s="124"/>
      <c r="BP3" s="152"/>
      <c r="BQ3" s="149" t="s">
        <v>0</v>
      </c>
      <c r="BR3" s="124"/>
      <c r="BS3" s="190" t="s">
        <v>141</v>
      </c>
      <c r="BT3" s="191"/>
      <c r="BU3" s="191"/>
      <c r="BV3" s="191"/>
      <c r="BW3" s="191"/>
      <c r="BX3" s="191"/>
      <c r="BY3" s="191"/>
      <c r="BZ3" s="191"/>
      <c r="CA3" s="191"/>
      <c r="CB3" s="191"/>
      <c r="CC3" s="191"/>
      <c r="CD3" s="191"/>
      <c r="CE3" s="191"/>
      <c r="CF3" s="192"/>
      <c r="CG3" s="193" t="s">
        <v>142</v>
      </c>
      <c r="CH3" s="194"/>
      <c r="CI3" s="194"/>
      <c r="CJ3" s="194"/>
      <c r="CK3" s="194"/>
      <c r="CL3" s="194"/>
      <c r="CM3" s="194"/>
      <c r="CN3" s="194"/>
      <c r="CO3" s="194"/>
      <c r="CP3" s="194"/>
      <c r="CQ3" s="194"/>
      <c r="CR3" s="194"/>
      <c r="CS3" s="194"/>
      <c r="CT3" s="195"/>
      <c r="CU3" s="172" t="s">
        <v>121</v>
      </c>
      <c r="CV3" s="127" t="s">
        <v>3</v>
      </c>
      <c r="CW3" s="124"/>
      <c r="CX3" s="148"/>
      <c r="CY3" s="169"/>
      <c r="CZ3" s="107"/>
      <c r="DA3" s="178"/>
      <c r="DB3" s="107"/>
      <c r="DC3" s="107"/>
      <c r="DD3" s="107"/>
      <c r="DE3" s="107"/>
      <c r="DF3" s="107"/>
      <c r="DG3" s="107"/>
      <c r="DH3" s="107"/>
      <c r="DI3" s="107"/>
      <c r="DJ3" s="107"/>
      <c r="DK3" s="107"/>
      <c r="DL3" s="107"/>
      <c r="DM3" s="107"/>
      <c r="DN3" s="163"/>
      <c r="DO3" s="178"/>
      <c r="DP3" s="107"/>
      <c r="DQ3" s="107"/>
      <c r="DR3" s="107"/>
      <c r="DS3" s="107"/>
      <c r="DT3" s="107"/>
      <c r="DU3" s="107"/>
      <c r="DV3" s="107"/>
      <c r="DW3" s="107"/>
      <c r="DX3" s="107"/>
      <c r="DY3" s="163"/>
      <c r="DZ3" s="166"/>
      <c r="EA3" s="107"/>
      <c r="EB3" s="163"/>
      <c r="EC3" s="186"/>
      <c r="ED3" s="125"/>
      <c r="EE3" s="107"/>
    </row>
    <row r="4" spans="1:135" ht="44.25" customHeight="1">
      <c r="A4" s="118"/>
      <c r="B4" s="118"/>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18"/>
      <c r="AF4" s="155"/>
      <c r="AG4" s="156"/>
      <c r="AH4" s="118"/>
      <c r="AI4" s="155"/>
      <c r="AJ4" s="156"/>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18"/>
      <c r="BN4" s="155"/>
      <c r="BO4" s="156"/>
      <c r="BP4" s="118"/>
      <c r="BQ4" s="155"/>
      <c r="BR4" s="156"/>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173"/>
      <c r="CV4" s="155"/>
      <c r="CW4" s="156"/>
      <c r="CX4" s="107"/>
      <c r="CY4" s="107"/>
      <c r="CZ4" s="107"/>
      <c r="DN4" s="107"/>
      <c r="DY4" s="107"/>
      <c r="DZ4" s="107"/>
      <c r="EA4" s="107"/>
      <c r="EB4" s="107"/>
      <c r="EC4" s="107"/>
      <c r="ED4" s="107"/>
      <c r="EE4" s="107"/>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58" t="str">
        <f>IF(MAESTRO!B5="","",MAESTRO!B5)</f>
        <v/>
      </c>
      <c r="AJ5" s="117"/>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58" t="str">
        <f>IF(MAESTRO!B5="","",MAESTRO!B5)</f>
        <v/>
      </c>
      <c r="BR5" s="117"/>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07"/>
      <c r="CZ5" s="107"/>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58" t="str">
        <f>IF(MAESTRO!B6="","",MAESTRO!B6)</f>
        <v/>
      </c>
      <c r="AJ6" s="117"/>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58" t="str">
        <f>IF(MAESTRO!B6="","",MAESTRO!B6)</f>
        <v/>
      </c>
      <c r="BR6" s="117"/>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07"/>
      <c r="CZ6" s="107"/>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58" t="str">
        <f>IF(MAESTRO!B7="","",MAESTRO!B7)</f>
        <v/>
      </c>
      <c r="AJ7" s="117"/>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58" t="str">
        <f>IF(MAESTRO!B7="","",MAESTRO!B7)</f>
        <v/>
      </c>
      <c r="BR7" s="117"/>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07"/>
      <c r="CZ7" s="107"/>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58" t="str">
        <f>IF(MAESTRO!B8="","",MAESTRO!B8)</f>
        <v/>
      </c>
      <c r="AJ8" s="117"/>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58" t="str">
        <f>IF(MAESTRO!B8="","",MAESTRO!B8)</f>
        <v/>
      </c>
      <c r="BR8" s="117"/>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07"/>
      <c r="CZ8" s="107"/>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58" t="str">
        <f>IF(MAESTRO!B9="","",MAESTRO!B9)</f>
        <v/>
      </c>
      <c r="AJ9" s="117"/>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58" t="str">
        <f>IF(MAESTRO!B9="","",MAESTRO!B9)</f>
        <v/>
      </c>
      <c r="BR9" s="117"/>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07"/>
      <c r="CZ9" s="107"/>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58" t="str">
        <f>IF(MAESTRO!B10="","",MAESTRO!B10)</f>
        <v/>
      </c>
      <c r="AJ10" s="117"/>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58" t="str">
        <f>IF(MAESTRO!B10="","",MAESTRO!B10)</f>
        <v/>
      </c>
      <c r="BR10" s="117"/>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07"/>
      <c r="CZ10" s="107"/>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58" t="str">
        <f>IF(MAESTRO!B11="","",MAESTRO!B11)</f>
        <v/>
      </c>
      <c r="AJ11" s="117"/>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58" t="str">
        <f>IF(MAESTRO!B11="","",MAESTRO!B11)</f>
        <v/>
      </c>
      <c r="BR11" s="117"/>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07"/>
      <c r="CZ11" s="107"/>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58" t="str">
        <f>IF(MAESTRO!B12="","",MAESTRO!B12)</f>
        <v/>
      </c>
      <c r="AJ12" s="117"/>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58" t="str">
        <f>IF(MAESTRO!B12="","",MAESTRO!B12)</f>
        <v/>
      </c>
      <c r="BR12" s="117"/>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07"/>
      <c r="CZ12" s="107"/>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58" t="str">
        <f>IF(MAESTRO!B13="","",MAESTRO!B13)</f>
        <v/>
      </c>
      <c r="AJ13" s="117"/>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58" t="str">
        <f>IF(MAESTRO!B13="","",MAESTRO!B13)</f>
        <v/>
      </c>
      <c r="BR13" s="117"/>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07"/>
      <c r="CZ13" s="107"/>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58" t="str">
        <f>IF(MAESTRO!B14="","",MAESTRO!B14)</f>
        <v/>
      </c>
      <c r="AJ14" s="117"/>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58" t="str">
        <f>IF(MAESTRO!B14="","",MAESTRO!B14)</f>
        <v/>
      </c>
      <c r="BR14" s="117"/>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07"/>
      <c r="CZ14" s="107"/>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58" t="str">
        <f>IF(MAESTRO!B15="","",MAESTRO!B15)</f>
        <v/>
      </c>
      <c r="AJ15" s="117"/>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58" t="str">
        <f>IF(MAESTRO!B15="","",MAESTRO!B15)</f>
        <v/>
      </c>
      <c r="BR15" s="117"/>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07"/>
      <c r="CZ15" s="107"/>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58" t="str">
        <f>IF(MAESTRO!B16="","",MAESTRO!B16)</f>
        <v/>
      </c>
      <c r="AJ16" s="117"/>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58" t="str">
        <f>IF(MAESTRO!B16="","",MAESTRO!B16)</f>
        <v/>
      </c>
      <c r="BR16" s="117"/>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07"/>
      <c r="CZ16" s="107"/>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58" t="str">
        <f>IF(MAESTRO!B17="","",MAESTRO!B17)</f>
        <v/>
      </c>
      <c r="AJ17" s="117"/>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58" t="str">
        <f>IF(MAESTRO!B17="","",MAESTRO!B17)</f>
        <v/>
      </c>
      <c r="BR17" s="117"/>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07"/>
      <c r="CZ17" s="107"/>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58" t="str">
        <f>IF(MAESTRO!B18="","",MAESTRO!B18)</f>
        <v/>
      </c>
      <c r="AJ18" s="117"/>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58" t="str">
        <f>IF(MAESTRO!B18="","",MAESTRO!B18)</f>
        <v/>
      </c>
      <c r="BR18" s="117"/>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07"/>
      <c r="CZ18" s="107"/>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58" t="str">
        <f>IF(MAESTRO!B19="","",MAESTRO!B19)</f>
        <v/>
      </c>
      <c r="AJ19" s="117"/>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58" t="str">
        <f>IF(MAESTRO!B19="","",MAESTRO!B19)</f>
        <v/>
      </c>
      <c r="BR19" s="117"/>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07"/>
      <c r="CZ19" s="107"/>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58" t="str">
        <f>IF(MAESTRO!B20="","",MAESTRO!B20)</f>
        <v/>
      </c>
      <c r="AJ20" s="117"/>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58" t="str">
        <f>IF(MAESTRO!B20="","",MAESTRO!B20)</f>
        <v/>
      </c>
      <c r="BR20" s="117"/>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07"/>
      <c r="CZ20" s="107"/>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58" t="str">
        <f>IF(MAESTRO!B21="","",MAESTRO!B21)</f>
        <v/>
      </c>
      <c r="AJ21" s="117"/>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58" t="str">
        <f>IF(MAESTRO!B21="","",MAESTRO!B21)</f>
        <v/>
      </c>
      <c r="BR21" s="117"/>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07"/>
      <c r="CZ21" s="107"/>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58" t="str">
        <f>IF(MAESTRO!B22="","",MAESTRO!B22)</f>
        <v/>
      </c>
      <c r="AJ22" s="117"/>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58" t="str">
        <f>IF(MAESTRO!B22="","",MAESTRO!B22)</f>
        <v/>
      </c>
      <c r="BR22" s="117"/>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07"/>
      <c r="CZ22" s="107"/>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58" t="str">
        <f>IF(MAESTRO!B23="","",MAESTRO!B23)</f>
        <v/>
      </c>
      <c r="AJ23" s="117"/>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58" t="str">
        <f>IF(MAESTRO!B23="","",MAESTRO!B23)</f>
        <v/>
      </c>
      <c r="BR23" s="117"/>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07"/>
      <c r="CZ23" s="107"/>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58" t="str">
        <f>IF(MAESTRO!B24="","",MAESTRO!B24)</f>
        <v/>
      </c>
      <c r="AJ24" s="117"/>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58" t="str">
        <f>IF(MAESTRO!B24="","",MAESTRO!B24)</f>
        <v/>
      </c>
      <c r="BR24" s="117"/>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07"/>
      <c r="CZ24" s="107"/>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58" t="str">
        <f>IF(MAESTRO!B25="","",MAESTRO!B25)</f>
        <v/>
      </c>
      <c r="AJ25" s="117"/>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58" t="str">
        <f>IF(MAESTRO!B25="","",MAESTRO!B25)</f>
        <v/>
      </c>
      <c r="BR25" s="117"/>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07"/>
      <c r="CZ25" s="107"/>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58" t="str">
        <f>IF(MAESTRO!B26="","",MAESTRO!B26)</f>
        <v/>
      </c>
      <c r="AJ26" s="117"/>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58" t="str">
        <f>IF(MAESTRO!B26="","",MAESTRO!B26)</f>
        <v/>
      </c>
      <c r="BR26" s="117"/>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07"/>
      <c r="CZ26" s="107"/>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58" t="str">
        <f>IF(MAESTRO!B27="","",MAESTRO!B27)</f>
        <v/>
      </c>
      <c r="AJ27" s="117"/>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58" t="str">
        <f>IF(MAESTRO!B27="","",MAESTRO!B27)</f>
        <v/>
      </c>
      <c r="BR27" s="117"/>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07"/>
      <c r="CZ27" s="107"/>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58" t="str">
        <f>IF(MAESTRO!B28="","",MAESTRO!B28)</f>
        <v/>
      </c>
      <c r="AJ28" s="117"/>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58" t="str">
        <f>IF(MAESTRO!B28="","",MAESTRO!B28)</f>
        <v/>
      </c>
      <c r="BR28" s="117"/>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07"/>
      <c r="CZ28" s="107"/>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58" t="str">
        <f>IF(MAESTRO!B29="","",MAESTRO!B29)</f>
        <v/>
      </c>
      <c r="AJ29" s="117"/>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58" t="str">
        <f>IF(MAESTRO!B29="","",MAESTRO!B29)</f>
        <v/>
      </c>
      <c r="BR29" s="117"/>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07"/>
      <c r="CZ29" s="107"/>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58" t="str">
        <f>IF(MAESTRO!B30="","",MAESTRO!B30)</f>
        <v/>
      </c>
      <c r="AJ30" s="117"/>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58" t="str">
        <f>IF(MAESTRO!B30="","",MAESTRO!B30)</f>
        <v/>
      </c>
      <c r="BR30" s="117"/>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07"/>
      <c r="CZ30" s="107"/>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58" t="str">
        <f>IF(MAESTRO!B31="","",MAESTRO!B31)</f>
        <v/>
      </c>
      <c r="AJ31" s="117"/>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58" t="str">
        <f>IF(MAESTRO!B31="","",MAESTRO!B31)</f>
        <v/>
      </c>
      <c r="BR31" s="117"/>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07"/>
      <c r="CZ31" s="107"/>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58" t="str">
        <f>IF(MAESTRO!B32="","",MAESTRO!B32)</f>
        <v/>
      </c>
      <c r="AJ32" s="117"/>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58" t="str">
        <f>IF(MAESTRO!B32="","",MAESTRO!B32)</f>
        <v/>
      </c>
      <c r="BR32" s="117"/>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07"/>
      <c r="CZ32" s="107"/>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58" t="str">
        <f>IF(MAESTRO!B33="","",MAESTRO!B33)</f>
        <v/>
      </c>
      <c r="AJ33" s="117"/>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58" t="str">
        <f>IF(MAESTRO!B33="","",MAESTRO!B33)</f>
        <v/>
      </c>
      <c r="BR33" s="117"/>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07"/>
      <c r="CZ33" s="107"/>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58" t="str">
        <f>IF(MAESTRO!B34="","",MAESTRO!B34)</f>
        <v/>
      </c>
      <c r="AJ34" s="117"/>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58" t="str">
        <f>IF(MAESTRO!B34="","",MAESTRO!B34)</f>
        <v/>
      </c>
      <c r="BR34" s="117"/>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07"/>
      <c r="CZ34" s="107"/>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58" t="str">
        <f>IF(MAESTRO!B35="","",MAESTRO!B35)</f>
        <v/>
      </c>
      <c r="AJ35" s="117"/>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58" t="str">
        <f>IF(MAESTRO!B35="","",MAESTRO!B35)</f>
        <v/>
      </c>
      <c r="BR35" s="117"/>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07"/>
      <c r="CZ35" s="107"/>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58" t="str">
        <f>IF(MAESTRO!B36="","",MAESTRO!B36)</f>
        <v/>
      </c>
      <c r="AJ36" s="117"/>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58" t="str">
        <f>IF(MAESTRO!B36="","",MAESTRO!B36)</f>
        <v/>
      </c>
      <c r="BR36" s="117"/>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07"/>
      <c r="CZ36" s="107"/>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58" t="str">
        <f>IF(MAESTRO!B37="","",MAESTRO!B37)</f>
        <v/>
      </c>
      <c r="AJ37" s="117"/>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58" t="str">
        <f>IF(MAESTRO!B37="","",MAESTRO!B37)</f>
        <v/>
      </c>
      <c r="BR37" s="117"/>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07"/>
      <c r="CZ37" s="107"/>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58" t="str">
        <f>IF(MAESTRO!B38="","",MAESTRO!B38)</f>
        <v/>
      </c>
      <c r="AJ38" s="117"/>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58" t="str">
        <f>IF(MAESTRO!B38="","",MAESTRO!B38)</f>
        <v/>
      </c>
      <c r="BR38" s="117"/>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07"/>
      <c r="CZ38" s="107"/>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2" t="str">
        <f>IF(MAESTRO!B39="","",IFERROR(TRUNC(AVERAGE(C39:AD39),1),""))</f>
        <v/>
      </c>
      <c r="AF39" s="4"/>
      <c r="AG39" s="4">
        <v>35</v>
      </c>
      <c r="AH39" s="4">
        <v>35</v>
      </c>
      <c r="AI39" s="158" t="str">
        <f>IF(MAESTRO!B39="","",MAESTRO!B39)</f>
        <v/>
      </c>
      <c r="AJ39" s="117"/>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58" t="str">
        <f>IF(MAESTRO!B39="","",MAESTRO!B39)</f>
        <v/>
      </c>
      <c r="BR39" s="117"/>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07"/>
      <c r="CZ39" s="107"/>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42" t="str">
        <f>IF(MAESTRO!B40="","",IFERROR(TRUNC(AVERAGE(C40:AD40),1),""))</f>
        <v/>
      </c>
      <c r="AF40" s="4"/>
      <c r="AG40" s="4">
        <v>36</v>
      </c>
      <c r="AH40" s="4">
        <v>36</v>
      </c>
      <c r="AI40" s="158" t="str">
        <f>IF(MAESTRO!B40="","",MAESTRO!B40)</f>
        <v/>
      </c>
      <c r="AJ40" s="117"/>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58" t="str">
        <f>IF(MAESTRO!B40="","",MAESTRO!B40)</f>
        <v/>
      </c>
      <c r="BR40" s="117"/>
      <c r="BS40" s="174"/>
      <c r="BT40" s="174"/>
      <c r="BU40" s="174"/>
      <c r="BV40" s="174"/>
      <c r="BW40" s="174"/>
      <c r="BX40" s="174"/>
      <c r="BY40" s="174"/>
      <c r="BZ40" s="174"/>
      <c r="CA40" s="174"/>
      <c r="CB40" s="174"/>
      <c r="CC40" s="174"/>
      <c r="CD40" s="174"/>
      <c r="CE40" s="174"/>
      <c r="CF40" s="174"/>
      <c r="CG40" s="174"/>
      <c r="CH40" s="174"/>
      <c r="CI40" s="174"/>
      <c r="CJ40" s="174"/>
      <c r="CK40" s="174"/>
      <c r="CL40" s="174"/>
      <c r="CM40" s="174"/>
      <c r="CN40" s="174"/>
      <c r="CO40" s="174"/>
      <c r="CP40" s="174"/>
      <c r="CQ40" s="174"/>
      <c r="CR40" s="174"/>
      <c r="CS40" s="174"/>
      <c r="CT40" s="174"/>
      <c r="CU40" s="5" t="str">
        <f>IF(MAESTRO!B40="","",IFERROR(TRUNC(AVERAGE(CF40,CT40,CQ40),1),""))</f>
        <v/>
      </c>
      <c r="CV40" s="4"/>
      <c r="CW40" s="93">
        <v>36</v>
      </c>
      <c r="CY40" s="107"/>
      <c r="CZ40" s="107"/>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42" t="str">
        <f>IF(MAESTRO!B41="","",IFERROR(TRUNC(AVERAGE(C41:AD41),1),""))</f>
        <v/>
      </c>
      <c r="AF41" s="4"/>
      <c r="AG41" s="4">
        <v>37</v>
      </c>
      <c r="AH41" s="4">
        <v>37</v>
      </c>
      <c r="AI41" s="158" t="str">
        <f>IF(MAESTRO!B41="","",MAESTRO!B41)</f>
        <v/>
      </c>
      <c r="AJ41" s="117"/>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58" t="str">
        <f>IF(MAESTRO!B41="","",MAESTRO!B41)</f>
        <v/>
      </c>
      <c r="BR41" s="117"/>
      <c r="BS41" s="175"/>
      <c r="BT41" s="175"/>
      <c r="BU41" s="175"/>
      <c r="BV41" s="175"/>
      <c r="BW41" s="175"/>
      <c r="BX41" s="175"/>
      <c r="BY41" s="175"/>
      <c r="BZ41" s="175"/>
      <c r="CA41" s="175"/>
      <c r="CB41" s="175"/>
      <c r="CC41" s="175"/>
      <c r="CD41" s="175"/>
      <c r="CE41" s="175"/>
      <c r="CF41" s="175"/>
      <c r="CG41" s="175"/>
      <c r="CH41" s="175"/>
      <c r="CI41" s="175"/>
      <c r="CJ41" s="175"/>
      <c r="CK41" s="175"/>
      <c r="CL41" s="175"/>
      <c r="CM41" s="175"/>
      <c r="CN41" s="175"/>
      <c r="CO41" s="175"/>
      <c r="CP41" s="175"/>
      <c r="CQ41" s="175"/>
      <c r="CR41" s="175"/>
      <c r="CS41" s="175"/>
      <c r="CT41" s="175"/>
      <c r="CU41" s="5" t="str">
        <f>IF(MAESTRO!B41="","",IFERROR(TRUNC(AVERAGE(CF41,CT41,CQ41),1),""))</f>
        <v/>
      </c>
      <c r="CV41" s="4"/>
      <c r="CW41" s="93">
        <v>37</v>
      </c>
      <c r="CY41" s="107"/>
      <c r="CZ41" s="107"/>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42"/>
      <c r="AF42" s="4"/>
      <c r="AG42" s="4">
        <v>38</v>
      </c>
      <c r="AH42" s="4">
        <v>38</v>
      </c>
      <c r="AI42" s="158" t="str">
        <f>IF(MAESTRO!B42="","",MAESTRO!B42)</f>
        <v/>
      </c>
      <c r="AJ42" s="117"/>
      <c r="AK42" s="160"/>
      <c r="AL42" s="160"/>
      <c r="AM42" s="160"/>
      <c r="AN42" s="160"/>
      <c r="AO42" s="160"/>
      <c r="AP42" s="160"/>
      <c r="AQ42" s="160"/>
      <c r="AR42" s="170"/>
      <c r="AS42" s="170"/>
      <c r="AT42" s="170"/>
      <c r="AU42" s="170"/>
      <c r="AV42" s="170"/>
      <c r="AW42" s="180"/>
      <c r="AX42" s="180"/>
      <c r="AY42" s="164"/>
      <c r="AZ42" s="164"/>
      <c r="BA42" s="164"/>
      <c r="BB42" s="164"/>
      <c r="BC42" s="164"/>
      <c r="BD42" s="165"/>
      <c r="BE42" s="165"/>
      <c r="BF42" s="165"/>
      <c r="BG42" s="165"/>
      <c r="BH42" s="184"/>
      <c r="BI42" s="184"/>
      <c r="BJ42" s="165"/>
      <c r="BK42" s="165"/>
      <c r="BL42" s="165"/>
      <c r="BM42" s="5"/>
      <c r="BN42" s="4"/>
      <c r="BO42" s="4">
        <v>38</v>
      </c>
      <c r="BP42" s="4">
        <v>38</v>
      </c>
      <c r="BQ42" s="158" t="str">
        <f>IF(MAESTRO!B42="","",MAESTRO!B42)</f>
        <v/>
      </c>
      <c r="BR42" s="117"/>
      <c r="BS42" s="175"/>
      <c r="BT42" s="175"/>
      <c r="BU42" s="175"/>
      <c r="BV42" s="175"/>
      <c r="BW42" s="175"/>
      <c r="BX42" s="175"/>
      <c r="BY42" s="175"/>
      <c r="BZ42" s="175"/>
      <c r="CA42" s="175"/>
      <c r="CB42" s="175"/>
      <c r="CC42" s="175"/>
      <c r="CD42" s="175"/>
      <c r="CE42" s="175"/>
      <c r="CF42" s="175"/>
      <c r="CG42" s="175"/>
      <c r="CH42" s="175"/>
      <c r="CI42" s="175"/>
      <c r="CJ42" s="175"/>
      <c r="CK42" s="175"/>
      <c r="CL42" s="175"/>
      <c r="CM42" s="175"/>
      <c r="CN42" s="175"/>
      <c r="CO42" s="175"/>
      <c r="CP42" s="175"/>
      <c r="CQ42" s="175"/>
      <c r="CR42" s="175"/>
      <c r="CS42" s="175"/>
      <c r="CT42" s="175"/>
      <c r="CU42" s="5"/>
      <c r="CV42" s="4"/>
      <c r="CW42" s="93">
        <v>38</v>
      </c>
      <c r="CY42" s="107"/>
      <c r="CZ42" s="107"/>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42"/>
      <c r="AF43" s="4"/>
      <c r="AG43" s="4">
        <v>39</v>
      </c>
      <c r="AH43" s="4">
        <v>39</v>
      </c>
      <c r="AI43" s="158" t="str">
        <f>IF(MAESTRO!B43="","",MAESTRO!B43)</f>
        <v/>
      </c>
      <c r="AJ43" s="117"/>
      <c r="AK43" s="161"/>
      <c r="AL43" s="161"/>
      <c r="AM43" s="161"/>
      <c r="AN43" s="161"/>
      <c r="AO43" s="161"/>
      <c r="AP43" s="161"/>
      <c r="AQ43" s="161"/>
      <c r="AR43" s="161"/>
      <c r="AS43" s="161"/>
      <c r="AT43" s="161"/>
      <c r="AU43" s="161"/>
      <c r="AV43" s="161"/>
      <c r="AW43" s="161"/>
      <c r="AX43" s="161"/>
      <c r="AY43" s="161"/>
      <c r="AZ43" s="161"/>
      <c r="BA43" s="161"/>
      <c r="BB43" s="161"/>
      <c r="BC43" s="161"/>
      <c r="BD43" s="161"/>
      <c r="BE43" s="161"/>
      <c r="BF43" s="161"/>
      <c r="BG43" s="161"/>
      <c r="BH43" s="161"/>
      <c r="BI43" s="161"/>
      <c r="BJ43" s="161"/>
      <c r="BK43" s="161"/>
      <c r="BL43" s="161"/>
      <c r="BM43" s="5"/>
      <c r="BN43" s="4"/>
      <c r="BO43" s="4">
        <v>39</v>
      </c>
      <c r="BP43" s="4">
        <v>39</v>
      </c>
      <c r="BQ43" s="158" t="str">
        <f>IF(MAESTRO!B43="","",MAESTRO!B43)</f>
        <v/>
      </c>
      <c r="BR43" s="117"/>
      <c r="BS43" s="175"/>
      <c r="BT43" s="175"/>
      <c r="BU43" s="175"/>
      <c r="BV43" s="175"/>
      <c r="BW43" s="175"/>
      <c r="BX43" s="175"/>
      <c r="BY43" s="175"/>
      <c r="BZ43" s="175"/>
      <c r="CA43" s="175"/>
      <c r="CB43" s="175"/>
      <c r="CC43" s="175"/>
      <c r="CD43" s="175"/>
      <c r="CE43" s="175"/>
      <c r="CF43" s="175"/>
      <c r="CG43" s="175"/>
      <c r="CH43" s="175"/>
      <c r="CI43" s="175"/>
      <c r="CJ43" s="175"/>
      <c r="CK43" s="175"/>
      <c r="CL43" s="175"/>
      <c r="CM43" s="175"/>
      <c r="CN43" s="175"/>
      <c r="CO43" s="175"/>
      <c r="CP43" s="175"/>
      <c r="CQ43" s="175"/>
      <c r="CR43" s="175"/>
      <c r="CS43" s="175"/>
      <c r="CT43" s="175"/>
      <c r="CU43" s="5"/>
      <c r="CV43" s="4"/>
      <c r="CW43" s="93">
        <v>39</v>
      </c>
      <c r="CY43" s="107"/>
      <c r="CZ43" s="107"/>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20"/>
      <c r="AF44" s="4"/>
      <c r="AG44" s="4">
        <v>40</v>
      </c>
      <c r="AH44" s="4">
        <v>40</v>
      </c>
      <c r="AI44" s="158" t="str">
        <f>IF(MAESTRO!B44="","",MAESTRO!B44)</f>
        <v/>
      </c>
      <c r="AJ44" s="117"/>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20"/>
      <c r="BN44" s="4"/>
      <c r="BO44" s="4">
        <v>40</v>
      </c>
      <c r="BP44" s="4">
        <v>40</v>
      </c>
      <c r="BQ44" s="158" t="str">
        <f>IF(MAESTRO!B44="","",MAESTRO!B44)</f>
        <v/>
      </c>
      <c r="BR44" s="117"/>
      <c r="BS44" s="175"/>
      <c r="BT44" s="175"/>
      <c r="BU44" s="175"/>
      <c r="BV44" s="175"/>
      <c r="BW44" s="175"/>
      <c r="BX44" s="175"/>
      <c r="BY44" s="175"/>
      <c r="BZ44" s="175"/>
      <c r="CA44" s="175"/>
      <c r="CB44" s="175"/>
      <c r="CC44" s="175"/>
      <c r="CD44" s="175"/>
      <c r="CE44" s="175"/>
      <c r="CF44" s="175"/>
      <c r="CG44" s="175"/>
      <c r="CH44" s="175"/>
      <c r="CI44" s="175"/>
      <c r="CJ44" s="175"/>
      <c r="CK44" s="175"/>
      <c r="CL44" s="175"/>
      <c r="CM44" s="175"/>
      <c r="CN44" s="175"/>
      <c r="CO44" s="175"/>
      <c r="CP44" s="175"/>
      <c r="CQ44" s="175"/>
      <c r="CR44" s="175"/>
      <c r="CS44" s="175"/>
      <c r="CT44" s="175"/>
      <c r="CU44" s="5"/>
      <c r="CV44" s="4"/>
      <c r="CW44" s="93">
        <v>40</v>
      </c>
      <c r="CY44" s="107"/>
      <c r="CZ44" s="107"/>
      <c r="DA44" s="46"/>
      <c r="DB44" s="46"/>
      <c r="DC44" s="46"/>
      <c r="DD44" s="46"/>
      <c r="DE44" s="46"/>
      <c r="DF44" s="46"/>
      <c r="DG44" s="46"/>
      <c r="DH44" s="46"/>
      <c r="DI44" s="46"/>
      <c r="DJ44" s="46"/>
      <c r="DK44" s="46"/>
      <c r="DL44" s="46"/>
      <c r="DM44" s="46"/>
      <c r="DN44" s="46"/>
      <c r="EB44" s="46"/>
      <c r="EC44" s="46"/>
    </row>
    <row r="45" spans="1:133" ht="13.5" customHeight="1">
      <c r="A45" s="4">
        <v>41</v>
      </c>
      <c r="B45" s="9"/>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20"/>
      <c r="AF45" s="4"/>
      <c r="AG45" s="4">
        <v>41</v>
      </c>
      <c r="AH45" s="4">
        <v>41</v>
      </c>
      <c r="AI45" s="158"/>
      <c r="AJ45" s="117"/>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20"/>
      <c r="BN45" s="4"/>
      <c r="BO45" s="4">
        <v>41</v>
      </c>
      <c r="BP45" s="4">
        <v>41</v>
      </c>
      <c r="BQ45" s="158"/>
      <c r="BR45" s="117"/>
      <c r="BS45" s="175"/>
      <c r="BT45" s="175"/>
      <c r="BU45" s="175"/>
      <c r="BV45" s="175"/>
      <c r="BW45" s="175"/>
      <c r="BX45" s="175"/>
      <c r="BY45" s="175"/>
      <c r="BZ45" s="175"/>
      <c r="CA45" s="175"/>
      <c r="CB45" s="175"/>
      <c r="CC45" s="175"/>
      <c r="CD45" s="175"/>
      <c r="CE45" s="175"/>
      <c r="CF45" s="175"/>
      <c r="CG45" s="175"/>
      <c r="CH45" s="175"/>
      <c r="CI45" s="175"/>
      <c r="CJ45" s="175"/>
      <c r="CK45" s="175"/>
      <c r="CL45" s="175"/>
      <c r="CM45" s="175"/>
      <c r="CN45" s="175"/>
      <c r="CO45" s="175"/>
      <c r="CP45" s="175"/>
      <c r="CQ45" s="175"/>
      <c r="CR45" s="175"/>
      <c r="CS45" s="175"/>
      <c r="CT45" s="175"/>
      <c r="CU45" s="5"/>
      <c r="CV45" s="4"/>
      <c r="CW45" s="93">
        <v>41</v>
      </c>
      <c r="CY45" s="107"/>
      <c r="CZ45" s="107"/>
      <c r="DA45" s="46"/>
      <c r="DB45" s="46"/>
      <c r="DC45" s="46"/>
      <c r="DD45" s="46"/>
      <c r="DE45" s="46"/>
      <c r="DF45" s="46"/>
      <c r="DG45" s="46"/>
      <c r="DH45" s="46"/>
      <c r="DI45" s="46"/>
      <c r="DJ45" s="46"/>
      <c r="DK45" s="46"/>
      <c r="DL45" s="46"/>
      <c r="DM45" s="46"/>
      <c r="DN45" s="46"/>
      <c r="EB45" s="46"/>
      <c r="EC45" s="46"/>
    </row>
    <row r="46" spans="1:133" ht="13.5" customHeight="1">
      <c r="A46" s="4">
        <v>42</v>
      </c>
      <c r="B46" s="9"/>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20"/>
      <c r="AF46" s="4"/>
      <c r="AG46" s="4">
        <v>42</v>
      </c>
      <c r="AH46" s="4">
        <v>42</v>
      </c>
      <c r="AI46" s="158"/>
      <c r="AJ46" s="117"/>
      <c r="AK46" s="161"/>
      <c r="AL46" s="161"/>
      <c r="AM46" s="161"/>
      <c r="AN46" s="161"/>
      <c r="AO46" s="161"/>
      <c r="AP46" s="161"/>
      <c r="AQ46" s="161"/>
      <c r="AR46" s="161"/>
      <c r="AS46" s="161"/>
      <c r="AT46" s="161"/>
      <c r="AU46" s="161"/>
      <c r="AV46" s="161"/>
      <c r="AW46" s="161"/>
      <c r="AX46" s="161"/>
      <c r="AY46" s="161"/>
      <c r="AZ46" s="161"/>
      <c r="BA46" s="161"/>
      <c r="BB46" s="161"/>
      <c r="BC46" s="161"/>
      <c r="BD46" s="161"/>
      <c r="BE46" s="161"/>
      <c r="BF46" s="161"/>
      <c r="BG46" s="161"/>
      <c r="BH46" s="161"/>
      <c r="BI46" s="161"/>
      <c r="BJ46" s="161"/>
      <c r="BK46" s="161"/>
      <c r="BL46" s="161"/>
      <c r="BM46" s="20"/>
      <c r="BN46" s="4"/>
      <c r="BO46" s="4">
        <v>42</v>
      </c>
      <c r="BP46" s="4">
        <v>42</v>
      </c>
      <c r="BQ46" s="158"/>
      <c r="BR46" s="117"/>
      <c r="BS46" s="175"/>
      <c r="BT46" s="175"/>
      <c r="BU46" s="175"/>
      <c r="BV46" s="175"/>
      <c r="BW46" s="175"/>
      <c r="BX46" s="175"/>
      <c r="BY46" s="175"/>
      <c r="BZ46" s="175"/>
      <c r="CA46" s="175"/>
      <c r="CB46" s="175"/>
      <c r="CC46" s="175"/>
      <c r="CD46" s="175"/>
      <c r="CE46" s="175"/>
      <c r="CF46" s="175"/>
      <c r="CG46" s="175"/>
      <c r="CH46" s="175"/>
      <c r="CI46" s="175"/>
      <c r="CJ46" s="175"/>
      <c r="CK46" s="175"/>
      <c r="CL46" s="175"/>
      <c r="CM46" s="175"/>
      <c r="CN46" s="175"/>
      <c r="CO46" s="175"/>
      <c r="CP46" s="175"/>
      <c r="CQ46" s="175"/>
      <c r="CR46" s="175"/>
      <c r="CS46" s="175"/>
      <c r="CT46" s="175"/>
      <c r="CU46" s="5"/>
      <c r="CV46" s="4"/>
      <c r="CW46" s="93">
        <v>42</v>
      </c>
      <c r="CY46" s="107"/>
      <c r="CZ46" s="107"/>
      <c r="DA46" s="46"/>
      <c r="DB46" s="46"/>
      <c r="DC46" s="46"/>
      <c r="DD46" s="46"/>
      <c r="DE46" s="46"/>
      <c r="DF46" s="46"/>
      <c r="DG46" s="46"/>
      <c r="DH46" s="46"/>
      <c r="DI46" s="46"/>
      <c r="DJ46" s="46"/>
      <c r="DK46" s="46"/>
      <c r="DL46" s="46"/>
      <c r="DM46" s="46"/>
      <c r="DN46" s="46"/>
      <c r="EB46" s="46"/>
      <c r="EC46" s="46"/>
    </row>
    <row r="47" spans="1:133" ht="13.5" customHeight="1">
      <c r="A47" s="4">
        <v>43</v>
      </c>
      <c r="B47" s="9"/>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20"/>
      <c r="AF47" s="4"/>
      <c r="AG47" s="4">
        <v>43</v>
      </c>
      <c r="AH47" s="4">
        <v>43</v>
      </c>
      <c r="AI47" s="158"/>
      <c r="AJ47" s="117"/>
      <c r="AK47" s="161"/>
      <c r="AL47" s="161"/>
      <c r="AM47" s="161"/>
      <c r="AN47" s="161"/>
      <c r="AO47" s="161"/>
      <c r="AP47" s="161"/>
      <c r="AQ47" s="161"/>
      <c r="AR47" s="161"/>
      <c r="AS47" s="161"/>
      <c r="AT47" s="161"/>
      <c r="AU47" s="161"/>
      <c r="AV47" s="161"/>
      <c r="AW47" s="161"/>
      <c r="AX47" s="161"/>
      <c r="AY47" s="161"/>
      <c r="AZ47" s="161"/>
      <c r="BA47" s="161"/>
      <c r="BB47" s="161"/>
      <c r="BC47" s="161"/>
      <c r="BD47" s="161"/>
      <c r="BE47" s="161"/>
      <c r="BF47" s="161"/>
      <c r="BG47" s="161"/>
      <c r="BH47" s="161"/>
      <c r="BI47" s="161"/>
      <c r="BJ47" s="161"/>
      <c r="BK47" s="161"/>
      <c r="BL47" s="161"/>
      <c r="BM47" s="20"/>
      <c r="BN47" s="4"/>
      <c r="BO47" s="4">
        <v>43</v>
      </c>
      <c r="BP47" s="4">
        <v>43</v>
      </c>
      <c r="BQ47" s="158"/>
      <c r="BR47" s="117"/>
      <c r="BS47" s="175"/>
      <c r="BT47" s="175"/>
      <c r="BU47" s="175"/>
      <c r="BV47" s="175"/>
      <c r="BW47" s="175"/>
      <c r="BX47" s="175"/>
      <c r="BY47" s="175"/>
      <c r="BZ47" s="175"/>
      <c r="CA47" s="175"/>
      <c r="CB47" s="175"/>
      <c r="CC47" s="175"/>
      <c r="CD47" s="175"/>
      <c r="CE47" s="175"/>
      <c r="CF47" s="175"/>
      <c r="CG47" s="175"/>
      <c r="CH47" s="175"/>
      <c r="CI47" s="175"/>
      <c r="CJ47" s="175"/>
      <c r="CK47" s="175"/>
      <c r="CL47" s="175"/>
      <c r="CM47" s="175"/>
      <c r="CN47" s="175"/>
      <c r="CO47" s="175"/>
      <c r="CP47" s="175"/>
      <c r="CQ47" s="175"/>
      <c r="CR47" s="175"/>
      <c r="CS47" s="175"/>
      <c r="CT47" s="175"/>
      <c r="CU47" s="5"/>
      <c r="CV47" s="4"/>
      <c r="CW47" s="93">
        <v>43</v>
      </c>
      <c r="CY47" s="107"/>
      <c r="CZ47" s="107"/>
      <c r="DA47" s="46"/>
      <c r="DB47" s="46"/>
      <c r="DC47" s="46"/>
      <c r="DD47" s="46"/>
      <c r="DE47" s="46"/>
      <c r="DF47" s="46"/>
      <c r="DG47" s="46"/>
      <c r="DH47" s="46"/>
      <c r="DI47" s="46"/>
      <c r="DJ47" s="46"/>
      <c r="DK47" s="46"/>
      <c r="DL47" s="46"/>
      <c r="DM47" s="46"/>
      <c r="DN47" s="46"/>
      <c r="EB47" s="46"/>
      <c r="EC47" s="46"/>
    </row>
    <row r="48" spans="1:133" ht="13.5" customHeight="1">
      <c r="A48" s="4">
        <v>44</v>
      </c>
      <c r="B48" s="9"/>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20"/>
      <c r="AF48" s="4"/>
      <c r="AG48" s="4">
        <v>44</v>
      </c>
      <c r="AH48" s="4">
        <v>44</v>
      </c>
      <c r="AI48" s="158"/>
      <c r="AJ48" s="117"/>
      <c r="AK48" s="162"/>
      <c r="AL48" s="162"/>
      <c r="AM48" s="162"/>
      <c r="AN48" s="162"/>
      <c r="AO48" s="162"/>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20"/>
      <c r="BN48" s="4"/>
      <c r="BO48" s="4">
        <v>44</v>
      </c>
      <c r="BP48" s="7">
        <v>44</v>
      </c>
      <c r="BQ48" s="158"/>
      <c r="BR48" s="117"/>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5"/>
      <c r="CV48" s="4"/>
      <c r="CW48" s="93">
        <v>44</v>
      </c>
      <c r="CY48" s="107"/>
      <c r="CZ48" s="107"/>
      <c r="DA48" s="46"/>
      <c r="DB48" s="46"/>
      <c r="DC48" s="46"/>
      <c r="DD48" s="46"/>
      <c r="DE48" s="46"/>
      <c r="DF48" s="46"/>
      <c r="DG48" s="46"/>
      <c r="DH48" s="46"/>
      <c r="DI48" s="46"/>
      <c r="DJ48" s="46"/>
      <c r="DK48" s="46"/>
      <c r="DL48" s="46"/>
      <c r="DM48" s="46"/>
      <c r="DN48" s="46"/>
      <c r="EB48" s="46"/>
      <c r="EC48" s="46"/>
    </row>
  </sheetData>
  <mergeCells count="260">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CD40:CD48"/>
    <mergeCell ref="CE40:CE48"/>
    <mergeCell ref="CF40:CF48"/>
    <mergeCell ref="BU40:BU48"/>
    <mergeCell ref="BV40:BV48"/>
    <mergeCell ref="BW40:BW48"/>
    <mergeCell ref="BX40:BX48"/>
    <mergeCell ref="BY40:BY48"/>
    <mergeCell ref="BZ40:BZ4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AT42:AT48"/>
    <mergeCell ref="AU42:AU48"/>
    <mergeCell ref="AV42:AV48"/>
    <mergeCell ref="AW42:AW48"/>
    <mergeCell ref="AX42:AX48"/>
    <mergeCell ref="AY42:AY48"/>
    <mergeCell ref="AN42:AN48"/>
    <mergeCell ref="CY36:CZ36"/>
    <mergeCell ref="AI37:AJ37"/>
    <mergeCell ref="BQ37:BR37"/>
    <mergeCell ref="CY37:CZ37"/>
    <mergeCell ref="AI34:AJ34"/>
    <mergeCell ref="BQ34:BR34"/>
    <mergeCell ref="CY34:CZ34"/>
    <mergeCell ref="AI35:AJ35"/>
    <mergeCell ref="BQ35:BR35"/>
    <mergeCell ref="CY35:CZ35"/>
    <mergeCell ref="AI32:AJ32"/>
    <mergeCell ref="BQ32:BR32"/>
    <mergeCell ref="CY32:CZ32"/>
    <mergeCell ref="AI33:AJ33"/>
    <mergeCell ref="BQ33:BR33"/>
    <mergeCell ref="CY33:CZ33"/>
    <mergeCell ref="AI30:AJ30"/>
    <mergeCell ref="BQ30:BR30"/>
    <mergeCell ref="CY30:CZ30"/>
    <mergeCell ref="AI31:AJ31"/>
    <mergeCell ref="BQ31:BR31"/>
    <mergeCell ref="CY31:CZ31"/>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8:AJ8"/>
    <mergeCell ref="BQ8:BR8"/>
    <mergeCell ref="CY8:CZ8"/>
    <mergeCell ref="AI9:AJ9"/>
    <mergeCell ref="BQ9:BR9"/>
    <mergeCell ref="CY9:CZ9"/>
    <mergeCell ref="AI6:AJ6"/>
    <mergeCell ref="BQ6:BR6"/>
    <mergeCell ref="CY6:CZ6"/>
    <mergeCell ref="AI7:AJ7"/>
    <mergeCell ref="BQ7:BR7"/>
    <mergeCell ref="CY7:CZ7"/>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H3:AH4"/>
    <mergeCell ref="AI3:AJ4"/>
    <mergeCell ref="AK3:AX3"/>
    <mergeCell ref="AY3:BL3"/>
    <mergeCell ref="BM3:BM4"/>
    <mergeCell ref="BN3:BO4"/>
    <mergeCell ref="A3:A4"/>
    <mergeCell ref="B3:B4"/>
    <mergeCell ref="C3:Q3"/>
    <mergeCell ref="R3:AD3"/>
    <mergeCell ref="AE3:AE4"/>
    <mergeCell ref="AF3:AG4"/>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s>
  <conditionalFormatting sqref="AE1:AE41 AE49:AE1048576">
    <cfRule type="cellIs" dxfId="2" priority="2" operator="lessThan">
      <formula>3</formula>
    </cfRule>
  </conditionalFormatting>
  <conditionalFormatting sqref="BM3:BM4">
    <cfRule type="cellIs" dxfId="1"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96BFC-4C05-421C-AA3A-A2F0BA4DACA4}">
  <sheetPr>
    <tabColor rgb="FF70A0D4"/>
  </sheetPr>
  <dimension ref="B3:Q56"/>
  <sheetViews>
    <sheetView view="pageLayout" topLeftCell="A33" zoomScale="70" zoomScaleNormal="100" zoomScalePageLayoutView="70" workbookViewId="0">
      <selection activeCell="L50" sqref="L5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04" t="s">
        <v>123</v>
      </c>
      <c r="C3" s="107"/>
      <c r="D3" s="107"/>
      <c r="E3" s="107"/>
      <c r="F3" s="107"/>
      <c r="G3" s="107"/>
      <c r="H3" s="107"/>
      <c r="I3" s="179"/>
      <c r="J3" s="107"/>
      <c r="K3" s="107"/>
      <c r="L3" s="107"/>
      <c r="M3" s="107"/>
      <c r="N3" s="107"/>
      <c r="O3" s="107"/>
      <c r="P3" s="107"/>
      <c r="Q3" s="107"/>
    </row>
    <row r="4" spans="2:17">
      <c r="B4" s="12"/>
      <c r="C4" s="12"/>
      <c r="D4" s="12"/>
      <c r="E4" s="12"/>
      <c r="F4" s="12"/>
      <c r="G4" s="12"/>
      <c r="H4" s="12"/>
      <c r="I4" s="44"/>
      <c r="J4" s="12"/>
      <c r="K4" s="12"/>
      <c r="L4" s="12"/>
      <c r="M4" s="12"/>
      <c r="N4" s="12"/>
      <c r="O4" s="12"/>
      <c r="P4" s="12"/>
      <c r="Q4" s="12"/>
    </row>
    <row r="5" spans="2:17">
      <c r="B5" s="198" t="s">
        <v>124</v>
      </c>
      <c r="C5" s="107"/>
      <c r="D5" s="107"/>
      <c r="E5" s="107"/>
      <c r="F5" s="107"/>
      <c r="G5" s="107"/>
      <c r="H5" s="107"/>
      <c r="I5" s="179"/>
      <c r="J5" s="107"/>
      <c r="K5" s="107"/>
      <c r="L5" s="107"/>
      <c r="M5" s="107"/>
      <c r="N5" s="107"/>
      <c r="O5" s="107"/>
      <c r="P5" s="107"/>
      <c r="Q5" s="107"/>
    </row>
    <row r="6" spans="2:17">
      <c r="B6" s="198" t="s">
        <v>125</v>
      </c>
      <c r="C6" s="107"/>
      <c r="D6" s="107"/>
      <c r="E6" s="107"/>
      <c r="F6" s="107"/>
      <c r="G6" s="107"/>
      <c r="H6" s="107"/>
      <c r="I6" s="179"/>
      <c r="J6" s="107"/>
      <c r="K6" s="107"/>
      <c r="L6" s="107"/>
      <c r="M6" s="107"/>
      <c r="N6" s="107"/>
      <c r="O6" s="107"/>
      <c r="P6" s="107"/>
      <c r="Q6" s="107"/>
    </row>
    <row r="7" spans="2:17">
      <c r="B7" s="198" t="s">
        <v>140</v>
      </c>
      <c r="C7" s="107"/>
      <c r="D7" s="107"/>
      <c r="E7" s="107"/>
      <c r="F7" s="107"/>
      <c r="G7" s="107"/>
      <c r="H7" s="107"/>
      <c r="I7" s="179"/>
      <c r="J7" s="107"/>
      <c r="K7" s="107"/>
      <c r="L7" s="107"/>
      <c r="M7" s="107"/>
      <c r="N7" s="107"/>
      <c r="O7" s="107"/>
      <c r="P7" s="107"/>
      <c r="Q7" s="107"/>
    </row>
    <row r="8" spans="2:17">
      <c r="B8" s="12"/>
      <c r="C8" s="13"/>
      <c r="D8" s="13"/>
      <c r="E8" s="13"/>
      <c r="F8" s="12"/>
      <c r="G8" s="12"/>
      <c r="H8" s="12"/>
      <c r="I8" s="44"/>
      <c r="J8" s="12"/>
      <c r="K8" s="12"/>
      <c r="L8" s="12"/>
      <c r="M8" s="12"/>
      <c r="N8" s="12"/>
      <c r="O8" s="12"/>
      <c r="P8" s="12"/>
      <c r="Q8" s="12"/>
    </row>
    <row r="9" spans="2:17">
      <c r="B9" s="199" t="s">
        <v>126</v>
      </c>
      <c r="C9" s="200"/>
      <c r="D9" s="212">
        <v>2026</v>
      </c>
      <c r="E9" s="200"/>
      <c r="F9" s="12"/>
      <c r="G9" s="12"/>
      <c r="H9" s="12"/>
      <c r="I9" s="210" t="s">
        <v>127</v>
      </c>
      <c r="J9" s="116"/>
      <c r="K9" s="117"/>
      <c r="L9" s="203" t="s">
        <v>112</v>
      </c>
      <c r="M9" s="116"/>
      <c r="N9" s="116"/>
      <c r="O9" s="116"/>
      <c r="P9" s="116"/>
      <c r="Q9" s="117"/>
    </row>
    <row r="10" spans="2:17">
      <c r="B10" s="208"/>
      <c r="C10" s="209"/>
      <c r="D10" s="95"/>
      <c r="E10" s="94"/>
      <c r="F10" s="12"/>
      <c r="G10" s="12"/>
      <c r="H10" s="12"/>
      <c r="I10" s="44"/>
      <c r="J10" s="12"/>
      <c r="K10" s="12"/>
      <c r="L10" s="12"/>
      <c r="M10" s="12"/>
      <c r="N10" s="12"/>
      <c r="O10" s="12"/>
      <c r="P10" s="12"/>
      <c r="Q10" s="12"/>
    </row>
    <row r="11" spans="2:17">
      <c r="B11" s="199" t="s">
        <v>128</v>
      </c>
      <c r="C11" s="200"/>
      <c r="D11" s="202" t="s">
        <v>150</v>
      </c>
      <c r="E11" s="200"/>
      <c r="F11" s="12"/>
      <c r="G11" s="12"/>
      <c r="H11" s="12"/>
      <c r="I11" s="210" t="s">
        <v>130</v>
      </c>
      <c r="J11" s="116"/>
      <c r="K11" s="117"/>
      <c r="L11" s="207" t="s">
        <v>131</v>
      </c>
      <c r="M11" s="116"/>
      <c r="N11" s="116"/>
      <c r="O11" s="116"/>
      <c r="P11" s="116"/>
      <c r="Q11" s="117"/>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201" t="s">
        <v>132</v>
      </c>
      <c r="G13" s="116"/>
      <c r="H13" s="117"/>
      <c r="I13" s="44"/>
      <c r="J13" s="201" t="s">
        <v>133</v>
      </c>
      <c r="K13" s="116"/>
      <c r="L13" s="116"/>
      <c r="M13" s="116"/>
      <c r="N13" s="116"/>
      <c r="O13" s="117"/>
      <c r="P13" s="196" t="s">
        <v>134</v>
      </c>
      <c r="Q13" s="124"/>
    </row>
    <row r="14" spans="2:17" ht="15" customHeight="1">
      <c r="B14" s="197" t="s">
        <v>113</v>
      </c>
      <c r="C14" s="211" t="s">
        <v>110</v>
      </c>
      <c r="D14" s="124"/>
      <c r="E14" s="213" t="s">
        <v>135</v>
      </c>
      <c r="F14" s="197" t="s">
        <v>60</v>
      </c>
      <c r="G14" s="197" t="s">
        <v>61</v>
      </c>
      <c r="H14" s="197" t="s">
        <v>62</v>
      </c>
      <c r="I14" s="205" t="s">
        <v>136</v>
      </c>
      <c r="J14" s="201" t="s">
        <v>60</v>
      </c>
      <c r="K14" s="117"/>
      <c r="L14" s="201" t="s">
        <v>61</v>
      </c>
      <c r="M14" s="117"/>
      <c r="N14" s="201" t="s">
        <v>62</v>
      </c>
      <c r="O14" s="117"/>
      <c r="P14" s="155"/>
      <c r="Q14" s="156"/>
    </row>
    <row r="15" spans="2:17">
      <c r="B15" s="118"/>
      <c r="C15" s="155"/>
      <c r="D15" s="156"/>
      <c r="E15" s="118"/>
      <c r="F15" s="118"/>
      <c r="G15" s="118"/>
      <c r="H15" s="118"/>
      <c r="I15" s="206"/>
      <c r="J15" s="14" t="s">
        <v>137</v>
      </c>
      <c r="K15" s="14" t="s">
        <v>138</v>
      </c>
      <c r="L15" s="14" t="s">
        <v>137</v>
      </c>
      <c r="M15" s="14" t="s">
        <v>138</v>
      </c>
      <c r="N15" s="14" t="s">
        <v>137</v>
      </c>
      <c r="O15" s="14" t="s">
        <v>138</v>
      </c>
      <c r="P15" s="14" t="s">
        <v>137</v>
      </c>
      <c r="Q15" s="14" t="s">
        <v>138</v>
      </c>
    </row>
    <row r="16" spans="2:17">
      <c r="B16" s="9">
        <v>1</v>
      </c>
      <c r="C16" s="11" t="str">
        <f>IF(MAESTRO!B5="","",MAESTRO!B5)</f>
        <v/>
      </c>
      <c r="D16" s="15"/>
      <c r="E16" s="15" t="str">
        <f>IF(MAESTRO!D5="","",MAESTRO!E5)</f>
        <v/>
      </c>
      <c r="F16" s="47" t="str">
        <f>IF(MAESTRO!B5="","",IFERROR('PROM (E. Fisica)'!AE5,""))</f>
        <v/>
      </c>
      <c r="G16" s="47" t="str">
        <f>IF(MAESTRO!B5="","",IFERROR('PROM (E. Fisica)'!BM5,""))</f>
        <v/>
      </c>
      <c r="H16" s="47" t="str">
        <f>IF(MAESTRO!B5="","",IFERROR('PROM (E. Fisica)'!CU5,""))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 Fisica)'!AE6,""))</f>
        <v/>
      </c>
      <c r="G17" s="47" t="str">
        <f>IF(MAESTRO!B6="","",IFERROR('PROM (E. Fisica)'!BM6,""))</f>
        <v/>
      </c>
      <c r="H17" s="47" t="str">
        <f>IF(MAESTRO!B6="","",IFERROR('PROM (E. Fisica)'!CU6,""))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 Fisica)'!AE7,""))</f>
        <v/>
      </c>
      <c r="G18" s="47" t="str">
        <f>IF(MAESTRO!B7="","",IFERROR('PROM (E. Fisica)'!BM7,""))</f>
        <v/>
      </c>
      <c r="H18" s="47" t="str">
        <f>IF(MAESTRO!B7="","",IFERROR('PROM (E. Fisica)'!CU7,""))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 Fisica)'!AE8,""))</f>
        <v/>
      </c>
      <c r="G19" s="47" t="str">
        <f>IF(MAESTRO!B8="","",IFERROR('PROM (E. Fisica)'!BM8,""))</f>
        <v/>
      </c>
      <c r="H19" s="47" t="str">
        <f>IF(MAESTRO!B8="","",IFERROR('PROM (E. Fisica)'!CU8,""))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 Fisica)'!AE9,""))</f>
        <v/>
      </c>
      <c r="G20" s="47" t="str">
        <f>IF(MAESTRO!B9="","",IFERROR('PROM (E. Fisica)'!BM9,""))</f>
        <v/>
      </c>
      <c r="H20" s="47" t="str">
        <f>IF(MAESTRO!B9="","",IFERROR('PROM (E. Fisica)'!CU9,""))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 Fisica)'!AE10,""))</f>
        <v/>
      </c>
      <c r="G21" s="47" t="str">
        <f>IF(MAESTRO!B10="","",IFERROR('PROM (E. Fisica)'!BM10,""))</f>
        <v/>
      </c>
      <c r="H21" s="47" t="str">
        <f>IF(MAESTRO!B10="","",IFERROR('PROM (E. Fisica)'!CU10,""))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 Fisica)'!AE11,""))</f>
        <v/>
      </c>
      <c r="G22" s="47" t="str">
        <f>IF(MAESTRO!B11="","",IFERROR('PROM (E. Fisica)'!BM11,""))</f>
        <v/>
      </c>
      <c r="H22" s="47" t="str">
        <f>IF(MAESTRO!B11="","",IFERROR('PROM (E. Fisica)'!CU11,""))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 Fisica)'!AE12,""))</f>
        <v/>
      </c>
      <c r="G23" s="47" t="str">
        <f>IF(MAESTRO!B12="","",IFERROR('PROM (E. Fisica)'!BM12,""))</f>
        <v/>
      </c>
      <c r="H23" s="47" t="str">
        <f>IF(MAESTRO!B12="","",IFERROR('PROM (E. Fisica)'!CU12,""))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 Fisica)'!AE13,""))</f>
        <v/>
      </c>
      <c r="G24" s="47" t="str">
        <f>IF(MAESTRO!B13="","",IFERROR('PROM (E. Fisica)'!BM13,""))</f>
        <v/>
      </c>
      <c r="H24" s="47" t="str">
        <f>IF(MAESTRO!B13="","",IFERROR('PROM (E. Fisica)'!CU13,""))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 Fisica)'!AE14,""))</f>
        <v/>
      </c>
      <c r="G25" s="47" t="str">
        <f>IF(MAESTRO!B14="","",IFERROR('PROM (E. Fisica)'!BM14,""))</f>
        <v/>
      </c>
      <c r="H25" s="47" t="str">
        <f>IF(MAESTRO!B14="","",IFERROR('PROM (E. Fisica)'!CU14,""))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 Fisica)'!AE15,""))</f>
        <v/>
      </c>
      <c r="G26" s="47" t="str">
        <f>IF(MAESTRO!B15="","",IFERROR('PROM (E. Fisica)'!BM15,""))</f>
        <v/>
      </c>
      <c r="H26" s="47" t="str">
        <f>IF(MAESTRO!B15="","",IFERROR('PROM (E. Fisica)'!CU15,""))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 Fisica)'!AE16,""))</f>
        <v/>
      </c>
      <c r="G27" s="47" t="str">
        <f>IF(MAESTRO!B16="","",IFERROR('PROM (E. Fisica)'!BM16,""))</f>
        <v/>
      </c>
      <c r="H27" s="47" t="str">
        <f>IF(MAESTRO!B16="","",IFERROR('PROM (E. Fisica)'!CU16,""))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 Fisica)'!AE17,""))</f>
        <v/>
      </c>
      <c r="G28" s="47" t="str">
        <f>IF(MAESTRO!B17="","",IFERROR('PROM (E. Fisica)'!BM17,""))</f>
        <v/>
      </c>
      <c r="H28" s="47" t="str">
        <f>IF(MAESTRO!B17="","",IFERROR('PROM (E. Fisica)'!CU17,""))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 Fisica)'!AE18,""))</f>
        <v/>
      </c>
      <c r="G29" s="47" t="str">
        <f>IF(MAESTRO!B18="","",IFERROR('PROM (E. Fisica)'!BM18,""))</f>
        <v/>
      </c>
      <c r="H29" s="47" t="str">
        <f>IF(MAESTRO!B18="","",IFERROR('PROM (E. Fisica)'!CU18,""))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 Fisica)'!AE19,""))</f>
        <v/>
      </c>
      <c r="G30" s="47" t="str">
        <f>IF(MAESTRO!B19="","",IFERROR('PROM (E. Fisica)'!BM19,""))</f>
        <v/>
      </c>
      <c r="H30" s="47" t="str">
        <f>IF(MAESTRO!B19="","",IFERROR('PROM (E. Fisica)'!CU19,""))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 Fisica)'!AE20,""))</f>
        <v/>
      </c>
      <c r="G31" s="47" t="str">
        <f>IF(MAESTRO!B20="","",IFERROR('PROM (E. Fisica)'!BM20,""))</f>
        <v/>
      </c>
      <c r="H31" s="47" t="str">
        <f>IF(MAESTRO!B20="","",IFERROR('PROM (E. Fisica)'!CU20,""))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 Fisica)'!AE21,""))</f>
        <v/>
      </c>
      <c r="G32" s="47" t="str">
        <f>IF(MAESTRO!B21="","",IFERROR('PROM (E. Fisica)'!BM21,""))</f>
        <v/>
      </c>
      <c r="H32" s="47" t="str">
        <f>IF(MAESTRO!B21="","",IFERROR('PROM (E. Fisica)'!CU21,""))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 Fisica)'!AE22,""))</f>
        <v/>
      </c>
      <c r="G33" s="47" t="str">
        <f>IF(MAESTRO!B22="","",IFERROR('PROM (E. Fisica)'!BM22,""))</f>
        <v/>
      </c>
      <c r="H33" s="47" t="str">
        <f>IF(MAESTRO!B22="","",IFERROR('PROM (E. Fisica)'!CU22,""))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 Fisica)'!AE23,""))</f>
        <v/>
      </c>
      <c r="G34" s="47" t="str">
        <f>IF(MAESTRO!B23="","",IFERROR('PROM (E. Fisica)'!BM23,""))</f>
        <v/>
      </c>
      <c r="H34" s="47" t="str">
        <f>IF(MAESTRO!B23="","",IFERROR('PROM (E. Fisica)'!CU23,""))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 Fisica)'!AE24,""))</f>
        <v/>
      </c>
      <c r="G35" s="47" t="str">
        <f>IF(MAESTRO!B24="","",IFERROR('PROM (E. Fisica)'!BM24,""))</f>
        <v/>
      </c>
      <c r="H35" s="47" t="str">
        <f>IF(MAESTRO!B24="","",IFERROR('PROM (E. Fisica)'!CU24,""))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 Fisica)'!AE25,""))</f>
        <v/>
      </c>
      <c r="G36" s="47" t="str">
        <f>IF(MAESTRO!B25="","",IFERROR('PROM (E. Fisica)'!BM25,""))</f>
        <v/>
      </c>
      <c r="H36" s="47" t="str">
        <f>IF(MAESTRO!B25="","",IFERROR('PROM (E. Fisica)'!CU25,""))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 Fisica)'!AE26,""))</f>
        <v/>
      </c>
      <c r="G37" s="47" t="str">
        <f>IF(MAESTRO!B26="","",IFERROR('PROM (E. Fisica)'!BM26,""))</f>
        <v/>
      </c>
      <c r="H37" s="47" t="str">
        <f>IF(MAESTRO!B26="","",IFERROR('PROM (E. Fisica)'!CU26,""))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 Fisica)'!AE27,""))</f>
        <v/>
      </c>
      <c r="G38" s="47" t="str">
        <f>IF(MAESTRO!B27="","",IFERROR('PROM (E. Fisica)'!BM27,""))</f>
        <v/>
      </c>
      <c r="H38" s="47" t="str">
        <f>IF(MAESTRO!B27="","",IFERROR('PROM (E. Fisica)'!CU27,""))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 Fisica)'!AE28,""))</f>
        <v/>
      </c>
      <c r="G39" s="47" t="str">
        <f>IF(MAESTRO!B28="","",IFERROR('PROM (E. Fisica)'!BM28,""))</f>
        <v/>
      </c>
      <c r="H39" s="47" t="str">
        <f>IF(MAESTRO!B28="","",IFERROR('PROM (E. Fisica)'!CU28,""))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 Fisica)'!AE29,""))</f>
        <v/>
      </c>
      <c r="G40" s="47" t="str">
        <f>IF(MAESTRO!B29="","",IFERROR('PROM (E. Fisica)'!BM29,""))</f>
        <v/>
      </c>
      <c r="H40" s="47" t="str">
        <f>IF(MAESTRO!B29="","",IFERROR('PROM (E. Fisica)'!CU29,""))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 Fisica)'!AE30,""))</f>
        <v/>
      </c>
      <c r="G41" s="47" t="str">
        <f>IF(MAESTRO!B30="","",IFERROR('PROM (E. Fisica)'!BM30,""))</f>
        <v/>
      </c>
      <c r="H41" s="47" t="str">
        <f>IF(MAESTRO!B30="","",IFERROR('PROM (E. Fisica)'!CU30,""))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 Fisica)'!AE31,""))</f>
        <v/>
      </c>
      <c r="G42" s="47" t="str">
        <f>IF(MAESTRO!B31="","",IFERROR('PROM (E. Fisica)'!BM31,""))</f>
        <v/>
      </c>
      <c r="H42" s="47" t="str">
        <f>IF(MAESTRO!B31="","",IFERROR('PROM (E. Fisica)'!CU31,""))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 Fisica)'!AE32,""))</f>
        <v/>
      </c>
      <c r="G43" s="47" t="str">
        <f>IF(MAESTRO!B32="","",IFERROR('PROM (E. Fisica)'!BM32,""))</f>
        <v/>
      </c>
      <c r="H43" s="47" t="str">
        <f>IF(MAESTRO!B32="","",IFERROR('PROM (E. Fisica)'!CU32,""))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 Fisica)'!AE33,""))</f>
        <v/>
      </c>
      <c r="G44" s="47" t="str">
        <f>IF(MAESTRO!B33="","",IFERROR('PROM (E. Fisica)'!BM33,""))</f>
        <v/>
      </c>
      <c r="H44" s="47" t="str">
        <f>IF(MAESTRO!B33="","",IFERROR('PROM (E. Fisica)'!CU33,""))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 Fisica)'!AE34,""))</f>
        <v/>
      </c>
      <c r="G45" s="47" t="str">
        <f>IF(MAESTRO!B34="","",IFERROR('PROM (E. Fisica)'!BM34,""))</f>
        <v/>
      </c>
      <c r="H45" s="47" t="str">
        <f>IF(MAESTRO!B34="","",IFERROR('PROM (E. Fisica)'!CU34,""))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 Fisica)'!AE35,""))</f>
        <v/>
      </c>
      <c r="G46" s="47" t="str">
        <f>IF(MAESTRO!B35="","",IFERROR('PROM (E. Fisica)'!BM35,""))</f>
        <v/>
      </c>
      <c r="H46" s="47" t="str">
        <f>IF(MAESTRO!B35="","",IFERROR('PROM (E. Fisica)'!CU35,""))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 Fisica)'!AE36,""))</f>
        <v/>
      </c>
      <c r="G47" s="47" t="str">
        <f>IF(MAESTRO!B36="","",IFERROR('PROM (E. Fisica)'!BM36,""))</f>
        <v/>
      </c>
      <c r="H47" s="47" t="str">
        <f>IF(MAESTRO!B36="","",IFERROR('PROM (E. Fisica)'!CU36,""))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 Fisica)'!AE37,""))</f>
        <v/>
      </c>
      <c r="G48" s="47" t="str">
        <f>IF(MAESTRO!B37="","",IFERROR('PROM (E. Fisica)'!BM37,""))</f>
        <v/>
      </c>
      <c r="H48" s="47" t="str">
        <f>IF(MAESTRO!B37="","",IFERROR('PROM (E. Fisica)'!CU37,""))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 Fisica)'!AE38,""))</f>
        <v/>
      </c>
      <c r="G49" s="47" t="str">
        <f>IF(MAESTRO!B38="","",IFERROR('PROM (E. Fisica)'!BM38,""))</f>
        <v/>
      </c>
      <c r="H49" s="47" t="str">
        <f>IF(MAESTRO!B38="","",IFERROR('PROM (E. Fisica)'!CU38,""))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 Fisica)'!AE39,""))</f>
        <v/>
      </c>
      <c r="G50" s="47" t="str">
        <f>IF(MAESTRO!B39="","",IFERROR('PROM (E. Fisica)'!BM39,""))</f>
        <v/>
      </c>
      <c r="H50" s="47" t="str">
        <f>IF(MAESTRO!B39="","",IFERROR('PROM (E. Fisica)'!CU39,""))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 Fisica)'!AE40,""))</f>
        <v/>
      </c>
      <c r="G51" s="47" t="str">
        <f>IF(MAESTRO!B40="","",IFERROR('PROM (E. Fisica)'!BM40,""))</f>
        <v/>
      </c>
      <c r="H51" s="47" t="str">
        <f>IF(MAESTRO!B40="","",IFERROR('PROM (E. Fisica)'!CU40,""))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 Fisica)'!AE41,""))</f>
        <v/>
      </c>
      <c r="G52" s="47" t="str">
        <f>IF(MAESTRO!B41="","",IFERROR('PROM (E. Fisica)'!BM41,""))</f>
        <v/>
      </c>
      <c r="H52" s="47" t="str">
        <f>IF(MAESTRO!B41="","",IFERROR('PROM (E. Fisica)'!CU41,""))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 Fisica)'!AE42,""))</f>
        <v/>
      </c>
      <c r="G53" s="47" t="str">
        <f>IF(MAESTRO!B42="","",IFERROR('PROM (E. Fisica)'!BM42,""))</f>
        <v/>
      </c>
      <c r="H53" s="47" t="str">
        <f>IF(MAESTRO!B42="","",IFERROR('PROM (E. Fisica)'!CU42,""))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 Fisica)'!AE43,""))</f>
        <v/>
      </c>
      <c r="G54" s="47" t="str">
        <f>IF(MAESTRO!B43="","",IFERROR('PROM (E. Fisica)'!BM43,""))</f>
        <v/>
      </c>
      <c r="H54" s="47" t="str">
        <f>IF(MAESTRO!B43="","",IFERROR('PROM (E. Fisica)'!CU43,""))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 Fisica)'!AE44,""))</f>
        <v/>
      </c>
      <c r="G55" s="47" t="str">
        <f>IF(MAESTRO!B44="","",IFERROR('PROM (E. Fisica)'!BM44,""))</f>
        <v/>
      </c>
      <c r="H55" s="47" t="str">
        <f>IF(MAESTRO!B44="","",IFERROR('PROM (E. Fisica)'!CU44,""))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10:C10"/>
    <mergeCell ref="B11:C11"/>
    <mergeCell ref="D11:E11"/>
    <mergeCell ref="I11:K11"/>
    <mergeCell ref="L11:Q11"/>
    <mergeCell ref="F13:H13"/>
    <mergeCell ref="J13:O13"/>
    <mergeCell ref="P13:Q14"/>
    <mergeCell ref="B14:B15"/>
    <mergeCell ref="C14:D15"/>
    <mergeCell ref="L14:M14"/>
    <mergeCell ref="N14:O14"/>
    <mergeCell ref="E14:E15"/>
    <mergeCell ref="F14:F15"/>
    <mergeCell ref="G14:G15"/>
    <mergeCell ref="H14:H15"/>
    <mergeCell ref="I14:I15"/>
    <mergeCell ref="J14:K14"/>
    <mergeCell ref="B3:Q3"/>
    <mergeCell ref="B5:Q5"/>
    <mergeCell ref="B6:Q6"/>
    <mergeCell ref="B7:Q7"/>
    <mergeCell ref="B9:C9"/>
    <mergeCell ref="D9:E9"/>
    <mergeCell ref="I9:K9"/>
    <mergeCell ref="L9:Q9"/>
  </mergeCells>
  <conditionalFormatting sqref="F16:I52">
    <cfRule type="cellIs" dxfId="0"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Caratula</vt:lpstr>
      <vt:lpstr>Portada</vt:lpstr>
      <vt:lpstr>Horarios</vt:lpstr>
      <vt:lpstr>Guía del Registro</vt:lpstr>
      <vt:lpstr>Observaciones</vt:lpstr>
      <vt:lpstr>MAESTRO</vt:lpstr>
      <vt:lpstr>RESUMEN</vt:lpstr>
      <vt:lpstr>Asistencia </vt:lpstr>
      <vt:lpstr>PROM (Ingles)</vt:lpstr>
      <vt:lpstr>Planilla (Ingles) </vt:lpstr>
      <vt:lpstr>PROM (Español)</vt:lpstr>
      <vt:lpstr>Planilla (Español)</vt:lpstr>
      <vt:lpstr>PROM (Matematica)</vt:lpstr>
      <vt:lpstr>Planilla (Matematica)</vt:lpstr>
      <vt:lpstr>PROM (C. Sociales)</vt:lpstr>
      <vt:lpstr>Planilla (C. Sociales)</vt:lpstr>
      <vt:lpstr>PROM (C. Naturales)</vt:lpstr>
      <vt:lpstr>Planilla (C. Naturales)</vt:lpstr>
      <vt:lpstr>PROM (Religión)</vt:lpstr>
      <vt:lpstr>Planilla (Religión)</vt:lpstr>
      <vt:lpstr>PROM (E. Artisticas)</vt:lpstr>
      <vt:lpstr>Planilla (E. Artisticas)</vt:lpstr>
      <vt:lpstr>PROM (Tecnologia)</vt:lpstr>
      <vt:lpstr>Planilla (Tecnologia)</vt:lpstr>
      <vt:lpstr>PROM (E. Fisica)</vt:lpstr>
      <vt:lpstr>Planilla (E. Fisica)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2026-03-26T22:13:14Z</cp:lastPrinted>
  <dcterms:created xsi:type="dcterms:W3CDTF">2008-12-01T04:09:55Z</dcterms:created>
  <dcterms:modified xsi:type="dcterms:W3CDTF">2026-03-31T03:10:27Z</dcterms:modified>
</cp:coreProperties>
</file>